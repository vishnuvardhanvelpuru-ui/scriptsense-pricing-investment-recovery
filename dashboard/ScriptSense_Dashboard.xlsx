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8250121e4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db15370e1974650"/>
    <x:sheet xmlns:r="http://schemas.openxmlformats.org/officeDocument/2006/relationships" name="Pricing" sheetId="2" r:id="R20385dea2bb64078"/>
    <x:sheet xmlns:r="http://schemas.openxmlformats.org/officeDocument/2006/relationships" name="Customers" sheetId="3" r:id="R349cba7d10fc4dce"/>
    <x:sheet xmlns:r="http://schemas.openxmlformats.org/officeDocument/2006/relationships" name="Assumptions" sheetId="4" r:id="Rc9c7b5ccd2114e4e"/>
    <x:sheet xmlns:r="http://schemas.openxmlformats.org/officeDocument/2006/relationships" name="Analysis" sheetId="5" r:id="R18dc0a7600154643"/>
    <x:sheet xmlns:r="http://schemas.openxmlformats.org/officeDocument/2006/relationships" name="Recovery" sheetId="6" r:id="R3f3dfda6d36b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&quot;₹&quot;#,##0.00;[Red](&quot;₹&quot;#,##0.00);&quot;₹&quot;0.00"/>
    <x:numFmt numFmtId="201" formatCode="0.0%"/>
    <x:numFmt numFmtId="202" formatCode="yyyy-mm-dd"/>
    <x:numFmt numFmtId="203" formatCode="#,##0.00"/>
    <x:numFmt numFmtId="204" formatCode="0.00"/>
    <x:numFmt numFmtId="205" formatCode="&quot;₹&quot;#,##0"/>
    <x:numFmt numFmtId="206" formatCode="0.00;[Red](0.00)"/>
    <x:numFmt numFmtId="207" formatCode="&quot;₹&quot;0.00&quot; L&quot;;[Red](&quot;₹&quot;0.00&quot; L&quot;);&quot;₹&quot;0.00&quot; L&quot;"/>
    <x:numFmt numFmtId="208" formatCode="0"/>
    <x:numFmt numFmtId="209" formatCode="&quot;₹&quot;#,##0;[Red](&quot;₹&quot;#,##0)"/>
  </x:numFmts>
  <x:fonts count="7">
    <x:font>
      <x:sz val="11"/>
      <x:name val="Carlito"/>
    </x:font>
    <x:font>
      <x:sz val="11"/>
      <x:color rgb="FF16324F"/>
      <x:name val="Arial"/>
    </x:font>
    <x:font>
      <x:b/>
      <x:sz val="20"/>
      <x:color rgb="FF16324F"/>
      <x:name val="Arial"/>
    </x:font>
    <x:font>
      <x:sz val="10"/>
      <x:color rgb="FF536578"/>
      <x:name val="Arial"/>
    </x:font>
    <x:font>
      <x:b/>
      <x:sz val="10"/>
      <x:color rgb="FFFFFFFF"/>
      <x:name val="Arial"/>
    </x:font>
    <x:font>
      <x:sz val="11"/>
      <x:color rgb="FF245C99"/>
      <x:name val="Arial"/>
    </x:font>
    <x:font>
      <x:b/>
      <x:sz val="22"/>
      <x:color rgb="FF16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0C4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4" fontId="1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4" fontId="1" fillId="4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3" fillId="4" borderId="0" xfId="0" applyNumberFormat="1" applyFont="1" applyFill="1" applyBorder="1"/>
    <x:xf numFmtId="0" fontId="6" fillId="4" borderId="0" xfId="0" applyNumberFormat="1" applyFont="1" applyFill="1" applyBorder="1"/>
    <x:xf numFmtId="207" fontId="6" fillId="4" borderId="0" xfId="0" applyNumberFormat="1" applyFont="1" applyFill="1" applyBorder="1"/>
    <x:xf numFmtId="201" fontId="6" fillId="4" borderId="0" xfId="0" applyNumberFormat="1" applyFont="1" applyFill="1" applyBorder="1"/>
    <x:xf numFmtId="208" fontId="6" fillId="4" borderId="0" xfId="0" applyNumberFormat="1" applyFont="1" applyFill="1" applyBorder="1"/>
    <x:xf numFmtId="209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C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1c2b3bc544ff0" /><Relationship Type="http://schemas.openxmlformats.org/officeDocument/2006/relationships/theme" Target="/xl/theme/theme1.xml" Id="R0825374e418a45e7" /><Relationship Type="http://schemas.openxmlformats.org/officeDocument/2006/relationships/sharedStrings" Target="/xl/sharedStrings.xml" Id="R3521b6c975444353" /><Relationship Type="http://schemas.openxmlformats.org/officeDocument/2006/relationships/worksheet" Target="/xl/worksheets/sheet1.xml" Id="R6db15370e1974650" /><Relationship Type="http://schemas.openxmlformats.org/officeDocument/2006/relationships/worksheet" Target="/xl/worksheets/sheet2.xml" Id="R20385dea2bb64078" /><Relationship Type="http://schemas.openxmlformats.org/officeDocument/2006/relationships/worksheet" Target="/xl/worksheets/sheet3.xml" Id="R349cba7d10fc4dce" /><Relationship Type="http://schemas.openxmlformats.org/officeDocument/2006/relationships/worksheet" Target="/xl/worksheets/sheet4.xml" Id="Rc9c7b5ccd2114e4e" /><Relationship Type="http://schemas.openxmlformats.org/officeDocument/2006/relationships/worksheet" Target="/xl/worksheets/sheet5.xml" Id="R18dc0a7600154643" /><Relationship Type="http://schemas.openxmlformats.org/officeDocument/2006/relationships/worksheet" Target="/xl/worksheets/sheet6.xml" Id="R3f3dfda6d36b43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602297d7cd4231" /><Relationship Type="http://schemas.openxmlformats.org/officeDocument/2006/relationships/chart" Target="/xl/drawings/charts/chart2.xml" Id="Rce1fd45a6f9d4ba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7314fb403e44048" /><Relationship Type="http://schemas.openxmlformats.org/officeDocument/2006/relationships/chart" Target="/xl/drawings/charts/chart4.xml" Id="R7c0c1663d63343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Segment revenue and gross profit (₹ lakh)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 ₹ lakh</c:v>
          </c:tx>
          <c:spPr>
            <a:solidFill xmlns:a="http://schemas.openxmlformats.org/drawingml/2006/main">
              <a:srgbClr val="245C99"/>
            </a:solidFill>
          </c:spPr>
          <c:cat>
            <c:strRef>
              <c:f>'Analysis'!$H$5:$H$7</c:f>
              <c:strCache>
                <c:ptCount val="0"/>
              </c:strCache>
            </c:strRef>
          </c:cat>
          <c:val>
            <c:numRef>
              <c:f>'Analysis'!$I$5:$I$7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Gross profit ₹ lakh</c:v>
          </c:tx>
          <c:spPr>
            <a:solidFill xmlns:a="http://schemas.openxmlformats.org/drawingml/2006/main">
              <a:srgbClr val="19847F"/>
            </a:solidFill>
          </c:spPr>
          <c:cat>
            <c:strRef>
              <c:f>'Analysis'!$H$5:$H$7</c:f>
              <c:strCache>
                <c:ptCount val="0"/>
              </c:strCache>
            </c:strRef>
          </c:cat>
          <c:val>
            <c:numRef>
              <c:f>'Analysis'!$J$5:$J$7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Tier revenue and gross profit (₹ lakh)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 ₹ lakh</c:v>
          </c:tx>
          <c:spPr>
            <a:solidFill xmlns:a="http://schemas.openxmlformats.org/drawingml/2006/main">
              <a:srgbClr val="245C99"/>
            </a:solidFill>
          </c:spPr>
          <c:cat>
            <c:strRef>
              <c:f>'Analysis'!$H$12:$H$14</c:f>
              <c:strCache>
                <c:ptCount val="0"/>
              </c:strCache>
            </c:strRef>
          </c:cat>
          <c:val>
            <c:numRef>
              <c:f>'Analysis'!$I$12:$I$14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Gross profit ₹ lakh</c:v>
          </c:tx>
          <c:spPr>
            <a:solidFill xmlns:a="http://schemas.openxmlformats.org/drawingml/2006/main">
              <a:srgbClr val="19847F"/>
            </a:solidFill>
          </c:spPr>
          <c:cat>
            <c:strRef>
              <c:f>'Analysis'!$H$12:$H$14</c:f>
              <c:strCache>
                <c:ptCount val="0"/>
              </c:strCache>
            </c:strRef>
          </c:cat>
          <c:val>
            <c:numRef>
              <c:f>'Analysis'!$J$12:$J$14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Current vs proposed tier revenue (₹ lakh)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Current ₹ lakh</c:v>
          </c:tx>
          <c:spPr>
            <a:solidFill xmlns:a="http://schemas.openxmlformats.org/drawingml/2006/main">
              <a:srgbClr val="245C99"/>
            </a:solidFill>
          </c:spPr>
          <c:cat>
            <c:strRef>
              <c:f>'Analysis'!$A$29:$A$31</c:f>
              <c:strCache>
                <c:ptCount val="0"/>
              </c:strCache>
            </c:strRef>
          </c:cat>
          <c:val>
            <c:numRef>
              <c:f>'Analysis'!$B$29:$B$31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Proposed ₹ lakh</c:v>
          </c:tx>
          <c:spPr>
            <a:solidFill xmlns:a="http://schemas.openxmlformats.org/drawingml/2006/main">
              <a:srgbClr val="19847F"/>
            </a:solidFill>
          </c:spPr>
          <c:cat>
            <c:strRef>
              <c:f>'Analysis'!$A$29:$A$31</c:f>
              <c:strCache>
                <c:ptCount val="0"/>
              </c:strCache>
            </c:strRef>
          </c:cat>
          <c:val>
            <c:numRef>
              <c:f>'Analysis'!$C$29:$C$31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Cumulative recovery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Current</c:v>
          </c:tx>
          <c:spPr>
            <a:solidFill xmlns:a="http://schemas.openxmlformats.org/drawingml/2006/main">
              <a:srgbClr val="245C99"/>
            </a:solidFill>
          </c:spPr>
          <c:marker>
            <c:symbol val="none"/>
          </c:marker>
          <c:cat>
            <c:strRef>
              <c:f>'Recovery'!$A$6:$A$26</c:f>
              <c:strCache>
                <c:ptCount val="0"/>
              </c:strCache>
            </c:strRef>
          </c:cat>
          <c:val>
            <c:numRef>
              <c:f>'Recovery'!$C$6:$C$26</c:f>
              <c:numCache>
                <c:formatCode>0.00;[Red](0.00)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19847F"/>
            </a:solidFill>
          </c:spPr>
          <c:marker>
            <c:symbol val="none"/>
          </c:marker>
          <c:cat>
            <c:strRef>
              <c:f>'Recovery'!$A$6:$A$26</c:f>
              <c:strCache>
                <c:ptCount val="0"/>
              </c:strCache>
            </c:strRef>
          </c:cat>
          <c:val>
            <c:numRef>
              <c:f>'Recovery'!$E$6:$E$26</c:f>
              <c:numCache>
                <c:formatCode>0.00;[Red](0.00)</c:formatCode>
                <c:ptCount val="0"/>
              </c:numCache>
            </c:numRef>
          </c:val>
          <c:smooth val="0"/>
        </c:ser>
        <c:ser>
          <c:idx val="2"/>
          <c:order val="2"/>
          <c:tx>
            <c:v>Upside</c:v>
          </c:tx>
          <c:spPr>
            <a:solidFill xmlns:a="http://schemas.openxmlformats.org/drawingml/2006/main">
              <a:srgbClr val="C78624"/>
            </a:solidFill>
          </c:spPr>
          <c:marker>
            <c:symbol val="none"/>
          </c:marker>
          <c:cat>
            <c:strRef>
              <c:f>'Recovery'!$A$6:$A$26</c:f>
              <c:strCache>
                <c:ptCount val="0"/>
              </c:strCache>
            </c:strRef>
          </c:cat>
          <c:val>
            <c:numRef>
              <c:f>'Recovery'!$F$6:$F$26</c:f>
              <c:numCache>
                <c:formatCode>0.00;[Red](0.00)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Years from model start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602297d7cd423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1fd45a6f9d4ba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314fb403e44048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0c1663d63343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CustomerEconomics" displayName="CustomerEconomics" ref="A4:W40" headerRowCount="1" totalsRowCount="0" totalsRowShown="0">
  <x:tableColumns count="23">
    <x:tableColumn id="1" name="Customer ID"/>
    <x:tableColumn id="2" name="Simulated customer"/>
    <x:tableColumn id="3" name="Segment"/>
    <x:tableColumn id="4" name="Tier ID"/>
    <x:tableColumn id="5" name="Snapshot date"/>
    <x:tableColumn id="6" name="Script runs/mo"/>
    <x:tableColumn id="7" name="Contract INR/mo"/>
    <x:tableColumn id="8" name="Hosting INR/mo"/>
    <x:tableColumn id="9" name="Support hours/mo"/>
    <x:tableColumn id="10" name="Support INR/hour"/>
    <x:tableColumn id="11" name="Tier"/>
    <x:tableColumn id="12" name="Direct cost INR"/>
    <x:tableColumn id="13" name="Gross profit INR"/>
    <x:tableColumn id="14" name="Gross margin"/>
    <x:tableColumn id="15" name="Annual contract INR"/>
    <x:tableColumn id="16" name="Discount"/>
    <x:tableColumn id="17" name="Price INR/run"/>
    <x:tableColumn id="18" name="Cost/revenue"/>
    <x:tableColumn id="19" name="Overage INR"/>
    <x:tableColumn id="20" name="Proposed INR/mo"/>
    <x:tableColumn id="21" name="Proposed GP INR"/>
    <x:tableColumn id="22" name="Review reason"/>
    <x:tableColumn id="23" name="GP rank (low first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ierRules" displayName="TierRules" ref="A14:F17" headerRowCount="1" totalsRowCount="0" totalsRowShown="0">
  <x:tableColumns count="6">
    <x:tableColumn id="1" name="Tier ID"/>
    <x:tableColumn id="2" name="Tier"/>
    <x:tableColumn id="3" name="Current list INR/mo"/>
    <x:tableColumn id="4" name="Base increase"/>
    <x:tableColumn id="5" name="Included runs/mo"/>
    <x:tableColumn id="6" name="Overage INR/ru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cenarioInputs" displayName="ScenarioInputs" ref="A21:D25" headerRowCount="1" totalsRowCount="0" totalsRowShown="0">
  <x:tableColumns count="4">
    <x:tableColumn id="1" name="Scenario ID"/>
    <x:tableColumn id="2" name="Scenario"/>
    <x:tableColumn id="3" name="Adoption"/>
    <x:tableColumn id="4" name="Reten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veryCheckpoints" displayName="RecoveryCheckpoints" ref="A5:F26" headerRowCount="1" totalsRowCount="0" totalsRowShown="0">
  <x:tableColumns count="6">
    <x:tableColumn id="1" name="Years"/>
    <x:tableColumn id="2" name="Months"/>
    <x:tableColumn id="3" name="Current"/>
    <x:tableColumn id="4" name="Conservative"/>
    <x:tableColumn id="5" name="Base"/>
    <x:tableColumn id="6" name="Up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92b736894d40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b7c7edf8aae4f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fb5b491676f40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3d1596174524637" /><Relationship Type="http://schemas.openxmlformats.org/officeDocument/2006/relationships/table" Target="/xl/tables/table3.xml" Id="R8b6ca9e6e37645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df31dc11c2a40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2" customHeight="1">
      <x:c r="A2" s="1"/>
      <x:c r="B2" s="2" t="str">
        <x:v>ScriptSense customer economics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1"/>
    </x:row>
    <x:row r="3" ht="23" customHeight="1">
      <x:c r="A3" s="1"/>
      <x:c r="B3" s="5" t="str">
        <x:v>Simulated portfolio • 36 enterprise customers • 31 August 2026 • full portfolio, current pricing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/>
      <x:c r="B5" s="27" t="str">
        <x:v>MONTHLY REVENUE</x:v>
      </x:c>
      <x:c r="C5" s="27"/>
      <x:c r="D5" s="27"/>
      <x:c r="E5" s="1"/>
      <x:c r="F5" s="27" t="str">
        <x:v>TOTAL COST incl. overhead</x:v>
      </x:c>
      <x:c r="G5" s="27"/>
      <x:c r="H5" s="27"/>
      <x:c r="I5" s="1"/>
      <x:c r="J5" s="27" t="str">
        <x:v>GROSS PROFIT</x:v>
      </x:c>
      <x:c r="K5" s="27"/>
      <x:c r="L5" s="27"/>
      <x:c r="M5" s="27"/>
      <x:c r="N5" s="1"/>
    </x:row>
    <x:row r="6" ht="23" customHeight="1">
      <x:c r="A6" s="1"/>
      <x:c r="B6" s="29" t="n">
        <x:f>SUM('Customers'!G5:G40)/'Assumptions'!B10</x:f>
        <x:v>9.5265</x:v>
      </x:c>
      <x:c r="C6" s="29"/>
      <x:c r="D6" s="29"/>
      <x:c r="E6" s="1"/>
      <x:c r="F6" s="29" t="n">
        <x:f>(SUM('Customers'!L5:L40)+'Assumptions'!B6)/'Assumptions'!B10</x:f>
        <x:v>8.458</x:v>
      </x:c>
      <x:c r="G6" s="29"/>
      <x:c r="H6" s="29"/>
      <x:c r="I6" s="1"/>
      <x:c r="J6" s="29" t="n">
        <x:f>SUM('Customers'!M5:M40)/'Assumptions'!B10</x:f>
        <x:v>6.0685</x:v>
      </x:c>
      <x:c r="K6" s="29"/>
      <x:c r="L6" s="29"/>
      <x:c r="M6" s="29"/>
      <x:c r="N6" s="1"/>
    </x:row>
    <x:row r="7" ht="23" customHeight="1">
      <x:c r="A7" s="1"/>
      <x:c r="B7" s="29"/>
      <x:c r="C7" s="29"/>
      <x:c r="D7" s="29"/>
      <x:c r="E7" s="1"/>
      <x:c r="F7" s="29"/>
      <x:c r="G7" s="29"/>
      <x:c r="H7" s="29"/>
      <x:c r="I7" s="1"/>
      <x:c r="J7" s="29"/>
      <x:c r="K7" s="29"/>
      <x:c r="L7" s="29"/>
      <x:c r="M7" s="29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/>
      <x:c r="B9" s="27" t="str">
        <x:v>GROSS MARGIN</x:v>
      </x:c>
      <x:c r="C9" s="27"/>
      <x:c r="D9" s="27"/>
      <x:c r="E9" s="1"/>
      <x:c r="F9" s="27" t="str">
        <x:v>CUSTOMER COUNT</x:v>
      </x:c>
      <x:c r="G9" s="27"/>
      <x:c r="H9" s="27"/>
      <x:c r="I9" s="1"/>
      <x:c r="J9" s="27" t="str">
        <x:v>AVG ANNUAL CONTRACT</x:v>
      </x:c>
      <x:c r="K9" s="27"/>
      <x:c r="L9" s="27"/>
      <x:c r="M9" s="27"/>
      <x:c r="N9" s="1"/>
    </x:row>
    <x:row r="10" ht="23" customHeight="1">
      <x:c r="A10" s="1"/>
      <x:c r="B10" s="30" t="n">
        <x:f>SUM('Customers'!M5:M40)/SUM('Customers'!G5:G40)</x:f>
        <x:v>0.6370125439563323</x:v>
      </x:c>
      <x:c r="C10" s="30"/>
      <x:c r="D10" s="30"/>
      <x:c r="E10" s="1"/>
      <x:c r="F10" s="31" t="n">
        <x:f>COUNTA('Customers'!A5:A40)</x:f>
        <x:v>36</x:v>
      </x:c>
      <x:c r="G10" s="31"/>
      <x:c r="H10" s="31"/>
      <x:c r="I10" s="1"/>
      <x:c r="J10" s="29" t="n">
        <x:f>SUM('Customers'!O5:O40)/F10/'Assumptions'!B10</x:f>
        <x:v>3.1755</x:v>
      </x:c>
      <x:c r="K10" s="29"/>
      <x:c r="L10" s="29"/>
      <x:c r="M10" s="29"/>
      <x:c r="N10" s="1"/>
    </x:row>
    <x:row r="11" ht="23" customHeight="1">
      <x:c r="A11" s="1"/>
      <x:c r="B11" s="30"/>
      <x:c r="C11" s="30"/>
      <x:c r="D11" s="30"/>
      <x:c r="E11" s="1"/>
      <x:c r="F11" s="31"/>
      <x:c r="G11" s="31"/>
      <x:c r="H11" s="31"/>
      <x:c r="I11" s="1"/>
      <x:c r="J11" s="29"/>
      <x:c r="K11" s="29"/>
      <x:c r="L11" s="29"/>
      <x:c r="M11" s="29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 t="str">
        <x:v>Direct service cost (₹ lakh)</x:v>
      </x:c>
      <x:c r="C13" s="1"/>
      <x:c r="D13" s="1"/>
      <x:c r="E13" s="1"/>
      <x:c r="F13" s="21" t="n">
        <x:f>SUM('Customers'!L5:L40)/'Assumptions'!B10</x:f>
        <x:v>3.458</x:v>
      </x:c>
      <x:c r="G13" s="1"/>
      <x:c r="H13" s="1" t="str">
        <x:v>Operating surplus (₹ lakh)</x:v>
      </x:c>
      <x:c r="I13" s="1"/>
      <x:c r="J13" s="1"/>
      <x:c r="K13" s="1"/>
      <x:c r="L13" s="21" t="n">
        <x:f>'Pricing'!J10</x:f>
        <x:v>1.0685000000000002</x:v>
      </x:c>
      <x:c r="M13" s="1"/>
      <x:c r="N13" s="1"/>
    </x:row>
    <x:row r="14" ht="23" customHeight="1">
      <x:c r="A14" s="1"/>
      <x:c r="B14" s="5" t="str">
        <x:v>Gross profit subtracts direct service costs. Operating surplus also subtracts company overhead.</x:v>
      </x:c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38" customHeight="1">
      <x:c r="A32" s="1"/>
      <x:c r="B32" s="9" t="str">
        <x:v>Review indicators</x:v>
      </x:c>
      <x:c r="C32" s="9"/>
      <x:c r="D32" s="9"/>
      <x:c r="E32" s="9"/>
      <x:c r="F32" s="9"/>
      <x:c r="G32" s="1"/>
      <x:c r="H32" s="9" t="str">
        <x:v>Lowest customer gross profit (INR/month)</x:v>
      </x:c>
      <x:c r="I32" s="9"/>
      <x:c r="J32" s="9"/>
      <x:c r="K32" s="9"/>
      <x:c r="L32" s="9"/>
      <x:c r="M32" s="9"/>
      <x:c r="N32" s="1"/>
    </x:row>
    <x:row r="33" ht="23" customHeight="1">
      <x:c r="A33" s="1"/>
      <x:c r="B33" s="1" t="str">
        <x:v>Top 5 revenue concentration</x:v>
      </x:c>
      <x:c r="C33" s="1"/>
      <x:c r="D33" s="1"/>
      <x:c r="E33" s="1"/>
      <x:c r="F33" s="13" t="n">
        <x:f>'Analysis'!I25</x:f>
        <x:v>0.25717734739935966</x:v>
      </x:c>
      <x:c r="G33" s="1"/>
      <x:c r="H33" s="1" t="str">
        <x:f>'Analysis'!B19</x:f>
        <x:v>C012</x:v>
      </x:c>
      <x:c r="I33" s="1"/>
      <x:c r="J33" s="32" t="n">
        <x:f>'Analysis'!D19</x:f>
        <x:v>-5000</x:v>
      </x:c>
      <x:c r="K33" s="1"/>
      <x:c r="L33" s="13" t="n">
        <x:f>'Analysis'!E19</x:f>
        <x:v>-0.5208333333333334</x:v>
      </x:c>
      <x:c r="M33" s="1"/>
      <x:c r="N33" s="1"/>
    </x:row>
    <x:row r="34" ht="23" customHeight="1">
      <x:c r="A34" s="1"/>
      <x:c r="B34" s="1" t="str">
        <x:v>Contracts flagged for review</x:v>
      </x:c>
      <x:c r="C34" s="1"/>
      <x:c r="D34" s="1"/>
      <x:c r="E34" s="1"/>
      <x:c r="F34" s="1" t="n">
        <x:f>SUM('Analysis'!I19:I21)</x:f>
        <x:v>17</x:v>
      </x:c>
      <x:c r="G34" s="1"/>
      <x:c r="H34" s="1" t="str">
        <x:f>'Analysis'!B20</x:f>
        <x:v>C024</x:v>
      </x:c>
      <x:c r="I34" s="1"/>
      <x:c r="J34" s="32" t="n">
        <x:f>'Analysis'!D20</x:f>
        <x:v>400</x:v>
      </x:c>
      <x:c r="K34" s="1"/>
      <x:c r="L34" s="13" t="n">
        <x:f>'Analysis'!E20</x:f>
        <x:v>0.02</x:v>
      </x:c>
      <x:c r="M34" s="1"/>
      <x:c r="N34" s="1"/>
    </x:row>
    <x:row r="35" ht="23" customHeight="1">
      <x:c r="A35" s="1"/>
      <x:c r="B35" s="1" t="str">
        <x:v>Negative gross-profit accounts</x:v>
      </x:c>
      <x:c r="C35" s="1"/>
      <x:c r="D35" s="1"/>
      <x:c r="E35" s="1"/>
      <x:c r="F35" s="1" t="n">
        <x:f>COUNTIF('Customers'!M5:M40,"&lt;0")</x:f>
        <x:v>1</x:v>
      </x:c>
      <x:c r="G35" s="1"/>
      <x:c r="H35" s="1" t="str">
        <x:f>'Analysis'!B21</x:f>
        <x:v>C008</x:v>
      </x:c>
      <x:c r="I35" s="1"/>
      <x:c r="J35" s="32" t="n">
        <x:f>'Analysis'!D21</x:f>
        <x:v>3400</x:v>
      </x:c>
      <x:c r="K35" s="1"/>
      <x:c r="L35" s="13" t="n">
        <x:f>'Analysis'!E21</x:f>
        <x:v>0.3541666666666667</x:v>
      </x:c>
      <x:c r="M35" s="1"/>
      <x:c r="N35" s="1"/>
    </x:row>
    <x:row r="36" ht="23" customHeight="1">
      <x:c r="A36" s="1"/>
      <x:c r="B36" s="1" t="str">
        <x:v>20% discount contracts</x:v>
      </x:c>
      <x:c r="C36" s="1"/>
      <x:c r="D36" s="1"/>
      <x:c r="E36" s="1"/>
      <x:c r="F36" s="1" t="n">
        <x:f>COUNTIF('Customers'!P5:P40,"&gt;=0.2")</x:f>
        <x:v>9</x:v>
      </x:c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5" t="str">
        <x:v>Review flags are screening signals, not proof of willingness to pay. Open Customers to filter and inspect contracts.</x:v>
      </x:c>
      <x:c r="I37" s="5"/>
      <x:c r="J37" s="5"/>
      <x:c r="K37" s="5"/>
      <x:c r="L37" s="5"/>
      <x:c r="M37" s="5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5"/>
      <x:c r="I38" s="5"/>
      <x:c r="J38" s="5"/>
      <x:c r="K38" s="5"/>
      <x:c r="L38" s="5"/>
      <x:c r="M38" s="5"/>
      <x:c r="N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/>
      <x:c r="B40" s="5" t="str">
        <x:v>Management focus: pilot usage-based renewal prices and repair weak service economics. At the saved baseline, pricing improves surplus but does not meet the five-year investment-recovery benchmark.</x:v>
      </x:c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1"/>
    </x:row>
    <x:row r="41" ht="23" customHeight="1">
      <x:c r="A41" s="1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1"/>
    </x:row>
    <x:row r="42" ht="23" customHeight="1">
      <x:c r="A42" s="1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</x:sheetData>
  <x:mergeCells>
    <x:mergeCell ref="B2:M2"/>
    <x:mergeCell ref="B3:M3"/>
    <x:mergeCell ref="B5:D5"/>
    <x:mergeCell ref="B6:D7"/>
    <x:mergeCell ref="F5:H5"/>
    <x:mergeCell ref="F6:H7"/>
    <x:mergeCell ref="J5:M5"/>
    <x:mergeCell ref="J6:M7"/>
    <x:mergeCell ref="B9:D9"/>
    <x:mergeCell ref="B10:D11"/>
    <x:mergeCell ref="F9:H9"/>
    <x:mergeCell ref="F10:H11"/>
    <x:mergeCell ref="J9:M9"/>
    <x:mergeCell ref="J10:M11"/>
    <x:mergeCell ref="B13:E13"/>
    <x:mergeCell ref="H13:K13"/>
    <x:mergeCell ref="B14:M14"/>
    <x:mergeCell ref="B32:F32"/>
    <x:mergeCell ref="B33:E33"/>
    <x:mergeCell ref="B34:E34"/>
    <x:mergeCell ref="B35:E35"/>
    <x:mergeCell ref="B36:E36"/>
    <x:mergeCell ref="H32:M32"/>
    <x:mergeCell ref="H33:I33"/>
    <x:mergeCell ref="J33:K33"/>
    <x:mergeCell ref="L33:M33"/>
    <x:mergeCell ref="H34:I34"/>
    <x:mergeCell ref="J34:K34"/>
    <x:mergeCell ref="L34:M34"/>
    <x:mergeCell ref="H35:I35"/>
    <x:mergeCell ref="J35:K35"/>
    <x:mergeCell ref="L35:M35"/>
    <x:mergeCell ref="H37:M38"/>
    <x:mergeCell ref="B40:M42"/>
  </x:mergeCells>
  <x:pageMargins left="0.7" right="0.7" top="0.75" bottom="0.75" header="0.3" footer="0.3"/>
  <x:drawing xmlns:r="http://schemas.openxmlformats.org/officeDocument/2006/relationships" r:id="R8992b736894d407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2" customHeight="1">
      <x:c r="A2" s="1"/>
      <x:c r="B2" s="2" t="str">
        <x:v>Pricing and investment recovery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1"/>
    </x:row>
    <x:row r="3" ht="23" customHeight="1">
      <x:c r="A3" s="1"/>
      <x:c r="B3" s="5" t="str">
        <x:v>₹2.5 crore seed case. Monthly values in ₹ lakh; payback in years. Steady-state scenarios, not forecasts.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/>
      <x:c r="B5" s="1" t="str">
        <x:v>View scenario</x:v>
      </x:c>
      <x:c r="C5" s="1"/>
      <x:c r="D5" s="20" t="str">
        <x:v>Base</x:v>
      </x:c>
      <x:c r="E5" s="19"/>
      <x:c r="F5" s="19"/>
      <x:c r="G5" s="1"/>
      <x:c r="H5" s="1" t="str">
        <x:v>Selected payback (years)</x:v>
      </x:c>
      <x:c r="I5" s="1"/>
      <x:c r="J5" s="1"/>
      <x:c r="K5" s="21" t="n">
        <x:f>INDEX(I10:I13,MATCH(D5,B10:B13,0))</x:f>
        <x:v>10.479140683637342</x:v>
      </x:c>
      <x:c r="L5" s="1"/>
      <x:c r="M5" s="1"/>
      <x:c r="N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50" customHeight="1">
      <x:c r="A9" s="1"/>
      <x:c r="B9" s="9" t="str">
        <x:v>Scenario</x:v>
      </x:c>
      <x:c r="C9" s="9" t="str">
        <x:v>Adoption</x:v>
      </x:c>
      <x:c r="D9" s="9" t="str">
        <x:v>Retention</x:v>
      </x:c>
      <x:c r="E9" s="9" t="str">
        <x:v>Revenue ₹ lakh</x:v>
      </x:c>
      <x:c r="F9" s="9" t="str">
        <x:v>Direct cost ₹ lakh</x:v>
      </x:c>
      <x:c r="G9" s="9" t="str">
        <x:v>Gross profit ₹ lakh</x:v>
      </x:c>
      <x:c r="H9" s="9" t="str">
        <x:v>Gross margin</x:v>
      </x:c>
      <x:c r="I9" s="9" t="str">
        <x:v>Payback years</x:v>
      </x:c>
      <x:c r="J9" s="9" t="str">
        <x:v>Surplus ₹ lakh</x:v>
      </x:c>
      <x:c r="K9" s="9" t="str">
        <x:v>Δ Revenue ₹ lakh</x:v>
      </x:c>
      <x:c r="L9" s="9" t="str">
        <x:v>Δ GP ₹ lakh</x:v>
      </x:c>
      <x:c r="M9" s="9" t="str">
        <x:v>Δ margin pp</x:v>
      </x:c>
      <x:c r="N9" s="1"/>
    </x:row>
    <x:row r="10" ht="23" customHeight="1">
      <x:c r="A10" s="1"/>
      <x:c r="B10" s="1" t="str">
        <x:f>'Assumptions'!B22</x:f>
        <x:v>Current</x:v>
      </x:c>
      <x:c r="C10" s="13" t="n">
        <x:f>'Assumptions'!C22</x:f>
        <x:v>0</x:v>
      </x:c>
      <x:c r="D10" s="13" t="n">
        <x:f>'Assumptions'!D22</x:f>
        <x:v>1</x:v>
      </x:c>
      <x:c r="E10" s="21" t="n">
        <x:f>(SUM('Customers'!$G$5:$G$40)+C10*(SUM('Customers'!$T$5:$T$40)-SUM('Customers'!$G$5:$G$40)))*D10/'Assumptions'!$B$10</x:f>
        <x:v>9.5265</x:v>
      </x:c>
      <x:c r="F10" s="21" t="n">
        <x:f>SUM('Customers'!$L$5:$L$40)*D10/'Assumptions'!$B$10</x:f>
        <x:v>3.458</x:v>
      </x:c>
      <x:c r="G10" s="21" t="n">
        <x:f>E10-F10</x:f>
        <x:v>6.0685</x:v>
      </x:c>
      <x:c r="H10" s="13" t="n">
        <x:f>IF(E10&gt;0,G10/E10,"")</x:f>
        <x:v>0.6370125439563323</x:v>
      </x:c>
      <x:c r="I10" s="21" t="n">
        <x:f>IF(J10&gt;0,'Assumptions'!$B$5/(J10*'Assumptions'!$B$10)/12,"")</x:f>
        <x:v>19.497738262361562</x:v>
      </x:c>
      <x:c r="J10" s="21" t="n">
        <x:f>G10-'Assumptions'!$B$6/'Assumptions'!$B$10</x:f>
        <x:v>1.0685000000000002</x:v>
      </x:c>
      <x:c r="K10" s="21" t="n">
        <x:f>E10-$E$10</x:f>
        <x:v>0</x:v>
      </x:c>
      <x:c r="L10" s="21" t="n">
        <x:f>G10-$G$10</x:f>
        <x:v>0</x:v>
      </x:c>
      <x:c r="M10" s="21" t="n">
        <x:f>IF(E10&gt;0,(H10-$H$10)*100,"")</x:f>
        <x:v>0</x:v>
      </x:c>
      <x:c r="N10" s="1"/>
    </x:row>
    <x:row r="11" ht="23" customHeight="1">
      <x:c r="A11" s="1"/>
      <x:c r="B11" s="1" t="str">
        <x:f>'Assumptions'!B23</x:f>
        <x:v>Conservative</x:v>
      </x:c>
      <x:c r="C11" s="13" t="n">
        <x:f>'Assumptions'!C23</x:f>
        <x:v>0.5</x:v>
      </x:c>
      <x:c r="D11" s="13" t="n">
        <x:f>'Assumptions'!D23</x:f>
        <x:v>0.98</x:v>
      </x:c>
      <x:c r="E11" s="21" t="n">
        <x:f>(SUM('Customers'!$G$5:$G$40)+C11*(SUM('Customers'!$T$5:$T$40)-SUM('Customers'!$G$5:$G$40)))*D11/'Assumptions'!$B$10</x:f>
        <x:v>9.9667813</x:v>
      </x:c>
      <x:c r="F11" s="21" t="n">
        <x:f>SUM('Customers'!$L$5:$L$40)*D11/'Assumptions'!$B$10</x:f>
        <x:v>3.38884</x:v>
      </x:c>
      <x:c r="G11" s="21" t="n">
        <x:f>E11-F11</x:f>
        <x:v>6.577941299999999</x:v>
      </x:c>
      <x:c r="H11" s="13" t="n">
        <x:f>IF(E11&gt;0,G11/E11,"")</x:f>
        <x:v>0.6599865194192632</x:v>
      </x:c>
      <x:c r="I11" s="21" t="n">
        <x:f>IF(J11&gt;0,'Assumptions'!$B$5/(J11*'Assumptions'!$B$10)/12,"")</x:f>
        <x:v>13.202856996856184</x:v>
      </x:c>
      <x:c r="J11" s="21" t="n">
        <x:f>G11-'Assumptions'!$B$6/'Assumptions'!$B$10</x:f>
        <x:v>1.577941299999999</x:v>
      </x:c>
      <x:c r="K11" s="21" t="n">
        <x:f>E11-$E$10</x:f>
        <x:v>0.44028129999999877</x:v>
      </x:c>
      <x:c r="L11" s="21" t="n">
        <x:f>G11-$G$10</x:f>
        <x:v>0.5094412999999989</x:v>
      </x:c>
      <x:c r="M11" s="21" t="n">
        <x:f>IF(E11&gt;0,(H11-$H$10)*100,"")</x:f>
        <x:v>2.2973975462930896</x:v>
      </x:c>
      <x:c r="N11" s="1"/>
    </x:row>
    <x:row r="12" ht="23" customHeight="1">
      <x:c r="A12" s="1"/>
      <x:c r="B12" s="22" t="str">
        <x:f>'Assumptions'!B24</x:f>
        <x:v>Base</x:v>
      </x:c>
      <x:c r="C12" s="23" t="n">
        <x:f>'Assumptions'!C24</x:f>
        <x:v>1</x:v>
      </x:c>
      <x:c r="D12" s="23" t="n">
        <x:f>'Assumptions'!D24</x:f>
        <x:v>0.95</x:v>
      </x:c>
      <x:c r="E12" s="24" t="n">
        <x:f>(SUM('Customers'!$G$5:$G$40)+C12*(SUM('Customers'!$T$5:$T$40)-SUM('Customers'!$G$5:$G$40)))*D12/'Assumptions'!$B$10</x:f>
        <x:v>10.2731765</x:v>
      </x:c>
      <x:c r="F12" s="24" t="n">
        <x:f>SUM('Customers'!$L$5:$L$40)*D12/'Assumptions'!$B$10</x:f>
        <x:v>3.2851</x:v>
      </x:c>
      <x:c r="G12" s="24" t="n">
        <x:f>E12-F12</x:f>
        <x:v>6.9880765</x:v>
      </x:c>
      <x:c r="H12" s="23" t="n">
        <x:f>IF(E12&gt;0,G12/E12,"")</x:f>
        <x:v>0.6802254881924787</x:v>
      </x:c>
      <x:c r="I12" s="24" t="n">
        <x:f>IF(J12&gt;0,'Assumptions'!$B$5/(J12*'Assumptions'!$B$10)/12,"")</x:f>
        <x:v>10.479140683637342</x:v>
      </x:c>
      <x:c r="J12" s="24" t="n">
        <x:f>G12-'Assumptions'!$B$6/'Assumptions'!$B$10</x:f>
        <x:v>1.9880765</x:v>
      </x:c>
      <x:c r="K12" s="24" t="n">
        <x:f>E12-$E$10</x:f>
        <x:v>0.7466764999999995</x:v>
      </x:c>
      <x:c r="L12" s="24" t="n">
        <x:f>G12-$G$10</x:f>
        <x:v>0.9195764999999998</x:v>
      </x:c>
      <x:c r="M12" s="24" t="n">
        <x:f>IF(E12&gt;0,(H12-$H$10)*100,"")</x:f>
        <x:v>4.321294423614641</x:v>
      </x:c>
      <x:c r="N12" s="1"/>
    </x:row>
    <x:row r="13" ht="23" customHeight="1">
      <x:c r="A13" s="1"/>
      <x:c r="B13" s="1" t="str">
        <x:f>'Assumptions'!B25</x:f>
        <x:v>Upside</x:v>
      </x:c>
      <x:c r="C13" s="13" t="n">
        <x:f>'Assumptions'!C25</x:f>
        <x:v>1</x:v>
      </x:c>
      <x:c r="D13" s="13" t="n">
        <x:f>'Assumptions'!D25</x:f>
        <x:v>1</x:v>
      </x:c>
      <x:c r="E13" s="21" t="n">
        <x:f>(SUM('Customers'!$G$5:$G$40)+C13*(SUM('Customers'!$T$5:$T$40)-SUM('Customers'!$G$5:$G$40)))*D13/'Assumptions'!$B$10</x:f>
        <x:v>10.81387</x:v>
      </x:c>
      <x:c r="F13" s="21" t="n">
        <x:f>SUM('Customers'!$L$5:$L$40)*D13/'Assumptions'!$B$10</x:f>
        <x:v>3.458</x:v>
      </x:c>
      <x:c r="G13" s="21" t="n">
        <x:f>E13-F13</x:f>
        <x:v>7.3558699999999995</x:v>
      </x:c>
      <x:c r="H13" s="13" t="n">
        <x:f>IF(E13&gt;0,G13/E13,"")</x:f>
        <x:v>0.6802254881924787</x:v>
      </x:c>
      <x:c r="I13" s="21" t="n">
        <x:f>IF(J13&gt;0,'Assumptions'!$B$5/(J13*'Assumptions'!$B$10)/12,"")</x:f>
        <x:v>8.843159144321774</x:v>
      </x:c>
      <x:c r="J13" s="21" t="n">
        <x:f>G13-'Assumptions'!$B$6/'Assumptions'!$B$10</x:f>
        <x:v>2.3558699999999995</x:v>
      </x:c>
      <x:c r="K13" s="21" t="n">
        <x:f>E13-$E$10</x:f>
        <x:v>1.2873699999999992</x:v>
      </x:c>
      <x:c r="L13" s="21" t="n">
        <x:f>G13-$G$10</x:f>
        <x:v>1.2873699999999992</x:v>
      </x:c>
      <x:c r="M13" s="21" t="n">
        <x:f>IF(E13&gt;0,(H13-$H$10)*100,"")</x:f>
        <x:v>4.321294423614641</x:v>
      </x:c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5" t="str">
        <x:v>Blank payback means no finite recovery at non-positive surplus. The model assumes the entire seed investment is unrecovered at month zero.</x:v>
      </x:c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1"/>
    </x:row>
    <x:row r="16" ht="23" customHeight="1">
      <x:c r="A16" s="1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52" customHeight="1">
      <x:c r="A18" s="1"/>
      <x:c r="B18" s="9" t="str">
        <x:v>Tier</x:v>
      </x:c>
      <x:c r="C18" s="9" t="str">
        <x:v>Current list INR/mo</x:v>
      </x:c>
      <x:c r="D18" s="9" t="str">
        <x:v>Proposed list INR/mo</x:v>
      </x:c>
      <x:c r="E18" s="9" t="str">
        <x:v>Included runs</x:v>
      </x:c>
      <x:c r="F18" s="9" t="str">
        <x:v>Overage INR/run</x:v>
      </x:c>
      <x:c r="G18" s="9" t="str">
        <x:v>Proposed portfolio ₹ lakh</x:v>
      </x:c>
      <x:c r="H18" s="1"/>
      <x:c r="I18" s="5" t="str">
        <x:v>Value metric: script-analysis runs and customer workflow. Prices are renewal-pilot hypotheses. Existing base discounts are preserved; no demand uplift is assumed.</x:v>
      </x:c>
      <x:c r="J18" s="5"/>
      <x:c r="K18" s="5"/>
      <x:c r="L18" s="5"/>
      <x:c r="M18" s="5"/>
      <x:c r="N18" s="1"/>
    </x:row>
    <x:row r="19" ht="23" customHeight="1">
      <x:c r="A19" s="1"/>
      <x:c r="B19" s="1" t="str">
        <x:f>'Assumptions'!B15</x:f>
        <x:v>Core</x:v>
      </x:c>
      <x:c r="C19" s="25" t="n">
        <x:f>'Assumptions'!C15</x:f>
        <x:v>12000</x:v>
      </x:c>
      <x:c r="D19" s="25" t="n">
        <x:f>ROUND(C19*(1+'Assumptions'!D15),2)</x:f>
        <x:v>12960</x:v>
      </x:c>
      <x:c r="E19" s="1" t="n">
        <x:f>'Assumptions'!E15</x:f>
        <x:v>25</x:v>
      </x:c>
      <x:c r="F19" s="25" t="n">
        <x:f>'Assumptions'!F15</x:f>
        <x:v>200</x:v>
      </x:c>
      <x:c r="G19" s="21" t="n">
        <x:f>'Analysis'!C29</x:f>
        <x:v>1.50312</x:v>
      </x:c>
      <x:c r="H19" s="1"/>
      <x:c r="I19" s="5"/>
      <x:c r="J19" s="5"/>
      <x:c r="K19" s="5"/>
      <x:c r="L19" s="5"/>
      <x:c r="M19" s="5"/>
      <x:c r="N19" s="1"/>
    </x:row>
    <x:row r="20" ht="23" customHeight="1">
      <x:c r="A20" s="1"/>
      <x:c r="B20" s="1" t="str">
        <x:f>'Assumptions'!B16</x:f>
        <x:v>Growth</x:v>
      </x:c>
      <x:c r="C20" s="25" t="n">
        <x:f>'Assumptions'!C16</x:f>
        <x:v>25000</x:v>
      </x:c>
      <x:c r="D20" s="25" t="n">
        <x:f>ROUND(C20*(1+'Assumptions'!D16),2)</x:f>
        <x:v>27500</x:v>
      </x:c>
      <x:c r="E20" s="1" t="n">
        <x:f>'Assumptions'!E16</x:f>
        <x:v>80</x:v>
      </x:c>
      <x:c r="F20" s="25" t="n">
        <x:f>'Assumptions'!F16</x:f>
        <x:v>150</x:v>
      </x:c>
      <x:c r="G20" s="21" t="n">
        <x:f>'Analysis'!C30</x:f>
        <x:v>3.10875</x:v>
      </x:c>
      <x:c r="H20" s="1"/>
      <x:c r="I20" s="5"/>
      <x:c r="J20" s="5"/>
      <x:c r="K20" s="5"/>
      <x:c r="L20" s="5"/>
      <x:c r="M20" s="5"/>
      <x:c r="N20" s="1"/>
    </x:row>
    <x:row r="21" ht="23" customHeight="1">
      <x:c r="A21" s="1"/>
      <x:c r="B21" s="1" t="str">
        <x:f>'Assumptions'!B17</x:f>
        <x:v>Enterprise</x:v>
      </x:c>
      <x:c r="C21" s="25" t="n">
        <x:f>'Assumptions'!C17</x:f>
        <x:v>50000</x:v>
      </x:c>
      <x:c r="D21" s="25" t="n">
        <x:f>ROUND(C21*(1+'Assumptions'!D17),2)</x:f>
        <x:v>56000</x:v>
      </x:c>
      <x:c r="E21" s="1" t="n">
        <x:f>'Assumptions'!E17</x:f>
        <x:v>250</x:v>
      </x:c>
      <x:c r="F21" s="25" t="n">
        <x:f>'Assumptions'!F17</x:f>
        <x:v>100</x:v>
      </x:c>
      <x:c r="G21" s="21" t="n">
        <x:f>'Analysis'!C31</x:f>
        <x:v>6.202</x:v>
      </x:c>
      <x:c r="H21" s="1"/>
      <x:c r="I21" s="5"/>
      <x:c r="J21" s="5"/>
      <x:c r="K21" s="5"/>
      <x:c r="L21" s="5"/>
      <x:c r="M21" s="5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38" customHeight="1">
      <x:c r="A40" s="1"/>
      <x:c r="B40" s="9" t="str">
        <x:v>Sensitivity</x:v>
      </x:c>
      <x:c r="C40" s="9" t="str">
        <x:v>Monthly surplus ₹ lakh</x:v>
      </x:c>
      <x:c r="D40" s="9" t="str">
        <x:v>Payback years</x:v>
      </x:c>
      <x:c r="E40" s="9" t="str"/>
      <x:c r="F40" s="9" t="str">
        <x:v>Recovery test</x:v>
      </x:c>
      <x:c r="G40" s="9" t="str">
        <x:v>Value</x:v>
      </x:c>
      <x:c r="H40" s="9" t="str">
        <x:v>Unit</x:v>
      </x:c>
      <x:c r="I40" s="1"/>
      <x:c r="J40" s="5" t="str">
        <x:v>Target retention above 100% means the recovery benchmark is infeasible with current scale and proposed pricing. Sticky support keeps all delivery support costs despite customer losses.</x:v>
      </x:c>
      <x:c r="K40" s="5"/>
      <x:c r="L40" s="5"/>
      <x:c r="M40" s="5"/>
      <x:c r="N40" s="1"/>
    </x:row>
    <x:row r="41" ht="23" customHeight="1">
      <x:c r="A41" s="1"/>
      <x:c r="B41" s="1" t="str">
        <x:v>Selected case</x:v>
      </x:c>
      <x:c r="C41" s="21" t="n">
        <x:f>INDEX(J10:J13,MATCH(D5,B10:B13,0))</x:f>
        <x:v>1.9880765</x:v>
      </x:c>
      <x:c r="D41" s="21" t="n">
        <x:f>IF(C41&gt;0,'Assumptions'!$B$5/(C41*'Assumptions'!$B$10)/12,"")</x:f>
        <x:v>10.479140683637342</x:v>
      </x:c>
      <x:c r="E41" s="1"/>
      <x:c r="F41" s="1" t="str">
        <x:v>Investment</x:v>
      </x:c>
      <x:c r="G41" s="21" t="n">
        <x:f>'Assumptions'!B5/'Assumptions'!B11</x:f>
        <x:v>2.5</x:v>
      </x:c>
      <x:c r="H41" s="1" t="str">
        <x:v>₹ crore</x:v>
      </x:c>
      <x:c r="I41" s="1"/>
      <x:c r="J41" s="5"/>
      <x:c r="K41" s="5"/>
      <x:c r="L41" s="5"/>
      <x:c r="M41" s="5"/>
      <x:c r="N41" s="1"/>
    </x:row>
    <x:row r="42" ht="23" customHeight="1">
      <x:c r="A42" s="1"/>
      <x:c r="B42" s="1"/>
      <x:c r="C42" s="21"/>
      <x:c r="D42" s="21"/>
      <x:c r="E42" s="1"/>
      <x:c r="F42" s="1" t="str">
        <x:v>Target</x:v>
      </x:c>
      <x:c r="G42" s="21" t="n">
        <x:f>'Assumptions'!B7/12</x:f>
        <x:v>5</x:v>
      </x:c>
      <x:c r="H42" s="1" t="str">
        <x:v>Years</x:v>
      </x:c>
      <x:c r="I42" s="1"/>
      <x:c r="J42" s="5"/>
      <x:c r="K42" s="5"/>
      <x:c r="L42" s="5"/>
      <x:c r="M42" s="5"/>
      <x:c r="N42" s="1"/>
    </x:row>
    <x:row r="43" ht="23" customHeight="1">
      <x:c r="A43" s="1"/>
      <x:c r="B43" s="1" t="str">
        <x:v>Sticky support</x:v>
      </x:c>
      <x:c r="C43" s="21" t="n">
        <x:f>INDEX(E10:E13,MATCH(D5,B10:B13,0))-(SUM('Customers'!$H$5:$H$40)*INDEX(D10:D13,MATCH(D5,B10:B13,0))+SUMPRODUCT('Customers'!$I$5:$I$40,'Customers'!$J$5:$J$40)+'Assumptions'!$B$6)/'Assumptions'!$B$10</x:f>
        <x:v>1.9030764999999992</x:v>
      </x:c>
      <x:c r="D43" s="21" t="n">
        <x:f>IF(C43&gt;0,'Assumptions'!$B$5/(C43*'Assumptions'!$B$10)/12,"")</x:f>
        <x:v>10.94718648111799</x:v>
      </x:c>
      <x:c r="E43" s="1"/>
      <x:c r="F43" s="1" t="str">
        <x:v>Required surplus</x:v>
      </x:c>
      <x:c r="G43" s="21" t="n">
        <x:f>'Assumptions'!B5/'Assumptions'!B7/'Assumptions'!B10</x:f>
        <x:v>4.166666666666667</x:v>
      </x:c>
      <x:c r="H43" s="1" t="str">
        <x:v>₹ lakh/mo</x:v>
      </x:c>
      <x:c r="I43" s="1"/>
      <x:c r="J43" s="5"/>
      <x:c r="K43" s="5"/>
      <x:c r="L43" s="5"/>
      <x:c r="M43" s="5"/>
      <x:c r="N43" s="1"/>
    </x:row>
    <x:row r="44" ht="23" customHeight="1">
      <x:c r="A44" s="1"/>
      <x:c r="B44" s="1" t="str">
        <x:v>Overhead +10%</x:v>
      </x:c>
      <x:c r="C44" s="21" t="n">
        <x:f>C41-'Assumptions'!$B$6*'Assumptions'!$B$9/'Assumptions'!$B$10</x:f>
        <x:v>1.4880765</x:v>
      </x:c>
      <x:c r="D44" s="21" t="n">
        <x:f>IF(C44&gt;0,'Assumptions'!$B$5/(C44*'Assumptions'!$B$10)/12,"")</x:f>
        <x:v>14.000176290219848</x:v>
      </x:c>
      <x:c r="E44" s="1"/>
      <x:c r="F44" s="1" t="str">
        <x:v>Target retention</x:v>
      </x:c>
      <x:c r="G44" s="13" t="n">
        <x:f>('Assumptions'!B6+'Assumptions'!B5/'Assumptions'!B7)/(G13*'Assumptions'!B10)</x:f>
        <x:v>1.2461702921159112</x:v>
      </x:c>
      <x:c r="H44" s="1" t="str">
        <x:v>Ratio</x:v>
      </x:c>
      <x:c r="I44" s="1"/>
      <x:c r="J44" s="5"/>
      <x:c r="K44" s="5"/>
      <x:c r="L44" s="5"/>
      <x:c r="M44" s="5"/>
      <x:c r="N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5"/>
      <x:c r="K45" s="5"/>
      <x:c r="L45" s="5"/>
      <x:c r="M45" s="5"/>
      <x:c r="N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3" customHeight="1">
      <x:c r="A47" s="1"/>
      <x:c r="B47" s="5" t="str">
        <x:v>Recommendation: pilot usage-based renewal terms; review support-heavy accounts C012 and C024. Pricing alone does not meet the five-year recovery benchmark at the saved baseline.</x:v>
      </x:c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1"/>
    </x:row>
    <x:row r="48" ht="23" customHeight="1">
      <x:c r="A48" s="1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1"/>
    </x:row>
    <x:row r="49" ht="23" customHeight="1">
      <x:c r="A49" s="1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3" customHeight="1">
      <x:c r="A51" s="1"/>
      <x:c r="B51" s="5" t="str">
        <x:v>Scenario assumptions are uniform across customers. No growth, inflation, tax, future capex or monthly churn compounding. A gradual renewal rollout or sticky cost base can delay recovery.</x:v>
      </x:c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1"/>
    </x:row>
    <x:row r="52" ht="23" customHeight="1">
      <x:c r="A52" s="1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1"/>
    </x:row>
    <x:row r="53" ht="23" customHeight="1">
      <x:c r="A53" s="1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</x:sheetData>
  <x:mergeCells>
    <x:mergeCell ref="B2:M2"/>
    <x:mergeCell ref="B3:M3"/>
    <x:mergeCell ref="D5:F5"/>
    <x:mergeCell ref="H5:J5"/>
    <x:mergeCell ref="K5:M5"/>
    <x:mergeCell ref="B15:M16"/>
    <x:mergeCell ref="I18:M21"/>
    <x:mergeCell ref="J40:M45"/>
    <x:mergeCell ref="B47:M49"/>
    <x:mergeCell ref="B51:M53"/>
  </x:mergeCells>
  <x:dataValidations count="1">
    <x:dataValidation type="list" sqref="D5">
      <x:formula1>"Current,Conservative,Base,Upside"</x:formula1>
    </x:dataValidation>
  </x:dataValidations>
  <x:pageMargins left="0.7" right="0.7" top="0.75" bottom="0.75" header="0.3" footer="0.3"/>
  <x:drawing xmlns:r="http://schemas.openxmlformats.org/officeDocument/2006/relationships" r:id="Rfb7c7edf8aae4f30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9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1" hidden="0" customWidth="1"/>
    <x:col min="23" max="23" width="15" hidden="0" customWidth="1"/>
  </x:cols>
  <x:sheetData>
    <x:row r="1" ht="32" customHeight="1">
      <x:c r="A1" s="2" t="str">
        <x:v>Customer economics</x:v>
      </x:c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3" customHeight="1">
      <x:c r="A2" s="5" t="str">
        <x:v>36 simulated enterprise accounts; one snapshot. Input amounts in INR/month. Gross profit excludes company fixed overhead.</x:v>
      </x:c>
      <x:c r="B2" s="5"/>
      <x:c r="C2" s="5"/>
      <x:c r="D2" s="5"/>
      <x:c r="E2" s="5"/>
      <x:c r="F2" s="5"/>
      <x:c r="G2" s="5"/>
      <x:c r="H2" s="5"/>
      <x:c r="I2" s="5"/>
      <x:c r="J2" s="5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46" customHeight="1">
      <x:c r="A4" s="9" t="str">
        <x:v>Customer ID</x:v>
      </x:c>
      <x:c r="B4" s="9" t="str">
        <x:v>Simulated customer</x:v>
      </x:c>
      <x:c r="C4" s="9" t="str">
        <x:v>Segment</x:v>
      </x:c>
      <x:c r="D4" s="9" t="str">
        <x:v>Tier ID</x:v>
      </x:c>
      <x:c r="E4" s="9" t="str">
        <x:v>Snapshot date</x:v>
      </x:c>
      <x:c r="F4" s="9" t="str">
        <x:v>Script runs/mo</x:v>
      </x:c>
      <x:c r="G4" s="9" t="str">
        <x:v>Contract INR/mo</x:v>
      </x:c>
      <x:c r="H4" s="9" t="str">
        <x:v>Hosting INR/mo</x:v>
      </x:c>
      <x:c r="I4" s="9" t="str">
        <x:v>Support hours/mo</x:v>
      </x:c>
      <x:c r="J4" s="9" t="str">
        <x:v>Support INR/hour</x:v>
      </x:c>
      <x:c r="K4" s="9" t="str">
        <x:v>Tier</x:v>
      </x:c>
      <x:c r="L4" s="9" t="str">
        <x:v>Direct cost INR</x:v>
      </x:c>
      <x:c r="M4" s="9" t="str">
        <x:v>Gross profit INR</x:v>
      </x:c>
      <x:c r="N4" s="9" t="str">
        <x:v>Gross margin</x:v>
      </x:c>
      <x:c r="O4" s="9" t="str">
        <x:v>Annual contract INR</x:v>
      </x:c>
      <x:c r="P4" s="9" t="str">
        <x:v>Discount</x:v>
      </x:c>
      <x:c r="Q4" s="9" t="str">
        <x:v>Price INR/run</x:v>
      </x:c>
      <x:c r="R4" s="9" t="str">
        <x:v>Cost/revenue</x:v>
      </x:c>
      <x:c r="S4" s="9" t="str">
        <x:v>Overage INR</x:v>
      </x:c>
      <x:c r="T4" s="9" t="str">
        <x:v>Proposed INR/mo</x:v>
      </x:c>
      <x:c r="U4" s="9" t="str">
        <x:v>Proposed GP INR</x:v>
      </x:c>
      <x:c r="V4" s="9" t="str">
        <x:v>Review reason</x:v>
      </x:c>
      <x:c r="W4" s="9" t="str">
        <x:v>GP rank (low first)</x:v>
      </x:c>
    </x:row>
    <x:row r="5" ht="23" customHeight="1">
      <x:c r="A5" s="10" t="str">
        <x:v>C001</x:v>
      </x:c>
      <x:c r="B5" s="10" t="str">
        <x:v>Simulated Studio 01</x:v>
      </x:c>
      <x:c r="C5" s="10" t="str">
        <x:v>Independent Studios</x:v>
      </x:c>
      <x:c r="D5" s="10" t="n">
        <x:v>1</x:v>
      </x:c>
      <x:c r="E5" s="17" t="n">
        <x:v>46265</x:v>
      </x:c>
      <x:c r="F5" s="10" t="n">
        <x:v>15</x:v>
      </x:c>
      <x:c r="G5" s="18" t="n">
        <x:v>12000</x:v>
      </x:c>
      <x:c r="H5" s="18" t="n">
        <x:v>1500</x:v>
      </x:c>
      <x:c r="I5" s="18" t="n">
        <x:v>2</x:v>
      </x:c>
      <x:c r="J5" s="18" t="n">
        <x:v>500</x:v>
      </x:c>
      <x:c r="K5" s="1" t="str">
        <x:f>VLOOKUP(D5,'Assumptions'!$A$15:$F$17,2,FALSE)</x:f>
        <x:v>Core</x:v>
      </x:c>
      <x:c r="L5" s="16" t="n">
        <x:f>H5+I5*J5</x:f>
        <x:v>2500</x:v>
      </x:c>
      <x:c r="M5" s="16" t="n">
        <x:f>G5-L5</x:f>
        <x:v>9500</x:v>
      </x:c>
      <x:c r="N5" s="13" t="n">
        <x:f>M5/G5</x:f>
        <x:v>0.7916666666666666</x:v>
      </x:c>
      <x:c r="O5" s="16" t="n">
        <x:f>G5*12</x:f>
        <x:v>144000</x:v>
      </x:c>
      <x:c r="P5" s="13" t="n">
        <x:f>ROUND(1-G5/VLOOKUP(D5,'Assumptions'!$A$15:$F$17,3,FALSE),4)</x:f>
        <x:v>0</x:v>
      </x:c>
      <x:c r="Q5" s="16" t="n">
        <x:f>G5/F5</x:f>
        <x:v>800</x:v>
      </x:c>
      <x:c r="R5" s="13" t="n">
        <x:f>L5/G5</x:f>
        <x:v>0.20833333333333334</x:v>
      </x:c>
      <x:c r="S5" s="16" t="n">
        <x:f>MAX(F5-VLOOKUP(D5,'Assumptions'!$A$15:$F$17,5,FALSE),0)*VLOOKUP(D5,'Assumptions'!$A$15:$F$17,6,FALSE)</x:f>
        <x:v>0</x:v>
      </x:c>
      <x:c r="T5" s="16" t="n">
        <x:f>ROUND(G5*(1+VLOOKUP(D5,'Assumptions'!$A$15:$F$17,4,FALSE)),2)+S5</x:f>
        <x:v>12960</x:v>
      </x:c>
      <x:c r="U5" s="16" t="n">
        <x:f>T5-L5</x:f>
        <x:v>10460</x:v>
      </x:c>
      <x:c r="V5" s="1" t="str">
        <x:f>IF(N5&lt;'Assumptions'!$B$8,"Margin review",IF(S5&gt;0,"Usage review",IF(P5&gt;=0.2,"Discount review","No flag")))</x:f>
        <x:v>No flag</x:v>
      </x:c>
      <x:c r="W5" s="1" t="n">
        <x:f>RANK(M5,$M$5:$M$40,1)+COUNTIF($M$5:M5,M5)-1</x:f>
        <x:v>13</x:v>
      </x:c>
    </x:row>
    <x:row r="6" ht="23" customHeight="1">
      <x:c r="A6" s="10" t="str">
        <x:v>C002</x:v>
      </x:c>
      <x:c r="B6" s="10" t="str">
        <x:v>Simulated Studio 02</x:v>
      </x:c>
      <x:c r="C6" s="10" t="str">
        <x:v>Independent Studios</x:v>
      </x:c>
      <x:c r="D6" s="10" t="n">
        <x:v>1</x:v>
      </x:c>
      <x:c r="E6" s="17" t="n">
        <x:v>46265</x:v>
      </x:c>
      <x:c r="F6" s="10" t="n">
        <x:v>18</x:v>
      </x:c>
      <x:c r="G6" s="18" t="n">
        <x:v>11400</x:v>
      </x:c>
      <x:c r="H6" s="18" t="n">
        <x:v>1600</x:v>
      </x:c>
      <x:c r="I6" s="18" t="n">
        <x:v>4</x:v>
      </x:c>
      <x:c r="J6" s="18" t="n">
        <x:v>500</x:v>
      </x:c>
      <x:c r="K6" s="1" t="str">
        <x:f>VLOOKUP(D6,'Assumptions'!$A$15:$F$17,2,FALSE)</x:f>
        <x:v>Core</x:v>
      </x:c>
      <x:c r="L6" s="16" t="n">
        <x:f>H6+I6*J6</x:f>
        <x:v>3600</x:v>
      </x:c>
      <x:c r="M6" s="16" t="n">
        <x:f>G6-L6</x:f>
        <x:v>7800</x:v>
      </x:c>
      <x:c r="N6" s="13" t="n">
        <x:f>M6/G6</x:f>
        <x:v>0.6842105263157895</x:v>
      </x:c>
      <x:c r="O6" s="16" t="n">
        <x:f>G6*12</x:f>
        <x:v>136800</x:v>
      </x:c>
      <x:c r="P6" s="13" t="n">
        <x:f>ROUND(1-G6/VLOOKUP(D6,'Assumptions'!$A$15:$F$17,3,FALSE),4)</x:f>
        <x:v>0.05</x:v>
      </x:c>
      <x:c r="Q6" s="16" t="n">
        <x:f>G6/F6</x:f>
        <x:v>633.3333333333334</x:v>
      </x:c>
      <x:c r="R6" s="13" t="n">
        <x:f>L6/G6</x:f>
        <x:v>0.3157894736842105</x:v>
      </x:c>
      <x:c r="S6" s="16" t="n">
        <x:f>MAX(F6-VLOOKUP(D6,'Assumptions'!$A$15:$F$17,5,FALSE),0)*VLOOKUP(D6,'Assumptions'!$A$15:$F$17,6,FALSE)</x:f>
        <x:v>0</x:v>
      </x:c>
      <x:c r="T6" s="16" t="n">
        <x:f>ROUND(G6*(1+VLOOKUP(D6,'Assumptions'!$A$15:$F$17,4,FALSE)),2)+S6</x:f>
        <x:v>12312</x:v>
      </x:c>
      <x:c r="U6" s="16" t="n">
        <x:f>T6-L6</x:f>
        <x:v>8712</x:v>
      </x:c>
      <x:c r="V6" s="1" t="str">
        <x:f>IF(N6&lt;'Assumptions'!$B$8,"Margin review",IF(S6&gt;0,"Usage review",IF(P6&gt;=0.2,"Discount review","No flag")))</x:f>
        <x:v>No flag</x:v>
      </x:c>
      <x:c r="W6" s="1" t="n">
        <x:f>RANK(M6,$M$5:$M$40,1)+COUNTIF($M$5:M6,M6)-1</x:f>
        <x:v>10</x:v>
      </x:c>
    </x:row>
    <x:row r="7" ht="23" customHeight="1">
      <x:c r="A7" s="10" t="str">
        <x:v>C003</x:v>
      </x:c>
      <x:c r="B7" s="10" t="str">
        <x:v>Simulated Studio 03</x:v>
      </x:c>
      <x:c r="C7" s="10" t="str">
        <x:v>Independent Studios</x:v>
      </x:c>
      <x:c r="D7" s="10" t="n">
        <x:v>1</x:v>
      </x:c>
      <x:c r="E7" s="17" t="n">
        <x:v>46265</x:v>
      </x:c>
      <x:c r="F7" s="10" t="n">
        <x:v>20</x:v>
      </x:c>
      <x:c r="G7" s="18" t="n">
        <x:v>10800</x:v>
      </x:c>
      <x:c r="H7" s="18" t="n">
        <x:v>1700</x:v>
      </x:c>
      <x:c r="I7" s="18" t="n">
        <x:v>6</x:v>
      </x:c>
      <x:c r="J7" s="18" t="n">
        <x:v>500</x:v>
      </x:c>
      <x:c r="K7" s="1" t="str">
        <x:f>VLOOKUP(D7,'Assumptions'!$A$15:$F$17,2,FALSE)</x:f>
        <x:v>Core</x:v>
      </x:c>
      <x:c r="L7" s="16" t="n">
        <x:f>H7+I7*J7</x:f>
        <x:v>4700</x:v>
      </x:c>
      <x:c r="M7" s="16" t="n">
        <x:f>G7-L7</x:f>
        <x:v>6100</x:v>
      </x:c>
      <x:c r="N7" s="13" t="n">
        <x:f>M7/G7</x:f>
        <x:v>0.5648148148148148</x:v>
      </x:c>
      <x:c r="O7" s="16" t="n">
        <x:f>G7*12</x:f>
        <x:v>129600</x:v>
      </x:c>
      <x:c r="P7" s="13" t="n">
        <x:f>ROUND(1-G7/VLOOKUP(D7,'Assumptions'!$A$15:$F$17,3,FALSE),4)</x:f>
        <x:v>0.1</x:v>
      </x:c>
      <x:c r="Q7" s="16" t="n">
        <x:f>G7/F7</x:f>
        <x:v>540</x:v>
      </x:c>
      <x:c r="R7" s="13" t="n">
        <x:f>L7/G7</x:f>
        <x:v>0.4351851851851852</x:v>
      </x:c>
      <x:c r="S7" s="16" t="n">
        <x:f>MAX(F7-VLOOKUP(D7,'Assumptions'!$A$15:$F$17,5,FALSE),0)*VLOOKUP(D7,'Assumptions'!$A$15:$F$17,6,FALSE)</x:f>
        <x:v>0</x:v>
      </x:c>
      <x:c r="T7" s="16" t="n">
        <x:f>ROUND(G7*(1+VLOOKUP(D7,'Assumptions'!$A$15:$F$17,4,FALSE)),2)+S7</x:f>
        <x:v>11664</x:v>
      </x:c>
      <x:c r="U7" s="16" t="n">
        <x:f>T7-L7</x:f>
        <x:v>6964</x:v>
      </x:c>
      <x:c r="V7" s="1" t="str">
        <x:f>IF(N7&lt;'Assumptions'!$B$8,"Margin review",IF(S7&gt;0,"Usage review",IF(P7&gt;=0.2,"Discount review","No flag")))</x:f>
        <x:v>No flag</x:v>
      </x:c>
      <x:c r="W7" s="1" t="n">
        <x:f>RANK(M7,$M$5:$M$40,1)+COUNTIF($M$5:M7,M7)-1</x:f>
        <x:v>7</x:v>
      </x:c>
    </x:row>
    <x:row r="8" ht="23" customHeight="1">
      <x:c r="A8" s="10" t="str">
        <x:v>C004</x:v>
      </x:c>
      <x:c r="B8" s="10" t="str">
        <x:v>Simulated Studio 04</x:v>
      </x:c>
      <x:c r="C8" s="10" t="str">
        <x:v>Independent Studios</x:v>
      </x:c>
      <x:c r="D8" s="10" t="n">
        <x:v>1</x:v>
      </x:c>
      <x:c r="E8" s="17" t="n">
        <x:v>46265</x:v>
      </x:c>
      <x:c r="F8" s="10" t="n">
        <x:v>22</x:v>
      </x:c>
      <x:c r="G8" s="18" t="n">
        <x:v>9600</x:v>
      </x:c>
      <x:c r="H8" s="18" t="n">
        <x:v>1800</x:v>
      </x:c>
      <x:c r="I8" s="18" t="n">
        <x:v>8</x:v>
      </x:c>
      <x:c r="J8" s="18" t="n">
        <x:v>500</x:v>
      </x:c>
      <x:c r="K8" s="1" t="str">
        <x:f>VLOOKUP(D8,'Assumptions'!$A$15:$F$17,2,FALSE)</x:f>
        <x:v>Core</x:v>
      </x:c>
      <x:c r="L8" s="16" t="n">
        <x:f>H8+I8*J8</x:f>
        <x:v>5800</x:v>
      </x:c>
      <x:c r="M8" s="16" t="n">
        <x:f>G8-L8</x:f>
        <x:v>3800</x:v>
      </x:c>
      <x:c r="N8" s="13" t="n">
        <x:f>M8/G8</x:f>
        <x:v>0.3958333333333333</x:v>
      </x:c>
      <x:c r="O8" s="16" t="n">
        <x:f>G8*12</x:f>
        <x:v>115200</x:v>
      </x:c>
      <x:c r="P8" s="13" t="n">
        <x:f>ROUND(1-G8/VLOOKUP(D8,'Assumptions'!$A$15:$F$17,3,FALSE),4)</x:f>
        <x:v>0.2</x:v>
      </x:c>
      <x:c r="Q8" s="16" t="n">
        <x:f>G8/F8</x:f>
        <x:v>436.3636363636364</x:v>
      </x:c>
      <x:c r="R8" s="13" t="n">
        <x:f>L8/G8</x:f>
        <x:v>0.6041666666666666</x:v>
      </x:c>
      <x:c r="S8" s="16" t="n">
        <x:f>MAX(F8-VLOOKUP(D8,'Assumptions'!$A$15:$F$17,5,FALSE),0)*VLOOKUP(D8,'Assumptions'!$A$15:$F$17,6,FALSE)</x:f>
        <x:v>0</x:v>
      </x:c>
      <x:c r="T8" s="16" t="n">
        <x:f>ROUND(G8*(1+VLOOKUP(D8,'Assumptions'!$A$15:$F$17,4,FALSE)),2)+S8</x:f>
        <x:v>10368</x:v>
      </x:c>
      <x:c r="U8" s="16" t="n">
        <x:f>T8-L8</x:f>
        <x:v>4568</x:v>
      </x:c>
      <x:c r="V8" s="1" t="str">
        <x:f>IF(N8&lt;'Assumptions'!$B$8,"Margin review",IF(S8&gt;0,"Usage review",IF(P8&gt;=0.2,"Discount review","No flag")))</x:f>
        <x:v>Margin review</x:v>
      </x:c>
      <x:c r="W8" s="1" t="n">
        <x:f>RANK(M8,$M$5:$M$40,1)+COUNTIF($M$5:M8,M8)-1</x:f>
        <x:v>4</x:v>
      </x:c>
    </x:row>
    <x:row r="9" ht="23" customHeight="1">
      <x:c r="A9" s="10" t="str">
        <x:v>C005</x:v>
      </x:c>
      <x:c r="B9" s="10" t="str">
        <x:v>Simulated Studio 05</x:v>
      </x:c>
      <x:c r="C9" s="10" t="str">
        <x:v>Independent Studios</x:v>
      </x:c>
      <x:c r="D9" s="10" t="n">
        <x:v>1</x:v>
      </x:c>
      <x:c r="E9" s="17" t="n">
        <x:v>46265</x:v>
      </x:c>
      <x:c r="F9" s="10" t="n">
        <x:v>24</x:v>
      </x:c>
      <x:c r="G9" s="18" t="n">
        <x:v>12000</x:v>
      </x:c>
      <x:c r="H9" s="18" t="n">
        <x:v>1900</x:v>
      </x:c>
      <x:c r="I9" s="18" t="n">
        <x:v>2</x:v>
      </x:c>
      <x:c r="J9" s="18" t="n">
        <x:v>500</x:v>
      </x:c>
      <x:c r="K9" s="1" t="str">
        <x:f>VLOOKUP(D9,'Assumptions'!$A$15:$F$17,2,FALSE)</x:f>
        <x:v>Core</x:v>
      </x:c>
      <x:c r="L9" s="16" t="n">
        <x:f>H9+I9*J9</x:f>
        <x:v>2900</x:v>
      </x:c>
      <x:c r="M9" s="16" t="n">
        <x:f>G9-L9</x:f>
        <x:v>9100</x:v>
      </x:c>
      <x:c r="N9" s="13" t="n">
        <x:f>M9/G9</x:f>
        <x:v>0.7583333333333333</x:v>
      </x:c>
      <x:c r="O9" s="16" t="n">
        <x:f>G9*12</x:f>
        <x:v>144000</x:v>
      </x:c>
      <x:c r="P9" s="13" t="n">
        <x:f>ROUND(1-G9/VLOOKUP(D9,'Assumptions'!$A$15:$F$17,3,FALSE),4)</x:f>
        <x:v>0</x:v>
      </x:c>
      <x:c r="Q9" s="16" t="n">
        <x:f>G9/F9</x:f>
        <x:v>500</x:v>
      </x:c>
      <x:c r="R9" s="13" t="n">
        <x:f>L9/G9</x:f>
        <x:v>0.24166666666666667</x:v>
      </x:c>
      <x:c r="S9" s="16" t="n">
        <x:f>MAX(F9-VLOOKUP(D9,'Assumptions'!$A$15:$F$17,5,FALSE),0)*VLOOKUP(D9,'Assumptions'!$A$15:$F$17,6,FALSE)</x:f>
        <x:v>0</x:v>
      </x:c>
      <x:c r="T9" s="16" t="n">
        <x:f>ROUND(G9*(1+VLOOKUP(D9,'Assumptions'!$A$15:$F$17,4,FALSE)),2)+S9</x:f>
        <x:v>12960</x:v>
      </x:c>
      <x:c r="U9" s="16" t="n">
        <x:f>T9-L9</x:f>
        <x:v>10060</x:v>
      </x:c>
      <x:c r="V9" s="1" t="str">
        <x:f>IF(N9&lt;'Assumptions'!$B$8,"Margin review",IF(S9&gt;0,"Usage review",IF(P9&gt;=0.2,"Discount review","No flag")))</x:f>
        <x:v>No flag</x:v>
      </x:c>
      <x:c r="W9" s="1" t="n">
        <x:f>RANK(M9,$M$5:$M$40,1)+COUNTIF($M$5:M9,M9)-1</x:f>
        <x:v>12</x:v>
      </x:c>
    </x:row>
    <x:row r="10" ht="23" customHeight="1">
      <x:c r="A10" s="10" t="str">
        <x:v>C006</x:v>
      </x:c>
      <x:c r="B10" s="10" t="str">
        <x:v>Simulated Studio 06</x:v>
      </x:c>
      <x:c r="C10" s="10" t="str">
        <x:v>Independent Studios</x:v>
      </x:c>
      <x:c r="D10" s="10" t="n">
        <x:v>1</x:v>
      </x:c>
      <x:c r="E10" s="17" t="n">
        <x:v>46265</x:v>
      </x:c>
      <x:c r="F10" s="10" t="n">
        <x:v>25</x:v>
      </x:c>
      <x:c r="G10" s="18" t="n">
        <x:v>11400</x:v>
      </x:c>
      <x:c r="H10" s="18" t="n">
        <x:v>2000</x:v>
      </x:c>
      <x:c r="I10" s="18" t="n">
        <x:v>4</x:v>
      </x:c>
      <x:c r="J10" s="18" t="n">
        <x:v>500</x:v>
      </x:c>
      <x:c r="K10" s="1" t="str">
        <x:f>VLOOKUP(D10,'Assumptions'!$A$15:$F$17,2,FALSE)</x:f>
        <x:v>Core</x:v>
      </x:c>
      <x:c r="L10" s="16" t="n">
        <x:f>H10+I10*J10</x:f>
        <x:v>4000</x:v>
      </x:c>
      <x:c r="M10" s="16" t="n">
        <x:f>G10-L10</x:f>
        <x:v>7400</x:v>
      </x:c>
      <x:c r="N10" s="13" t="n">
        <x:f>M10/G10</x:f>
        <x:v>0.6491228070175439</x:v>
      </x:c>
      <x:c r="O10" s="16" t="n">
        <x:f>G10*12</x:f>
        <x:v>136800</x:v>
      </x:c>
      <x:c r="P10" s="13" t="n">
        <x:f>ROUND(1-G10/VLOOKUP(D10,'Assumptions'!$A$15:$F$17,3,FALSE),4)</x:f>
        <x:v>0.05</x:v>
      </x:c>
      <x:c r="Q10" s="16" t="n">
        <x:f>G10/F10</x:f>
        <x:v>456</x:v>
      </x:c>
      <x:c r="R10" s="13" t="n">
        <x:f>L10/G10</x:f>
        <x:v>0.3508771929824561</x:v>
      </x:c>
      <x:c r="S10" s="16" t="n">
        <x:f>MAX(F10-VLOOKUP(D10,'Assumptions'!$A$15:$F$17,5,FALSE),0)*VLOOKUP(D10,'Assumptions'!$A$15:$F$17,6,FALSE)</x:f>
        <x:v>0</x:v>
      </x:c>
      <x:c r="T10" s="16" t="n">
        <x:f>ROUND(G10*(1+VLOOKUP(D10,'Assumptions'!$A$15:$F$17,4,FALSE)),2)+S10</x:f>
        <x:v>12312</x:v>
      </x:c>
      <x:c r="U10" s="16" t="n">
        <x:f>T10-L10</x:f>
        <x:v>8312</x:v>
      </x:c>
      <x:c r="V10" s="1" t="str">
        <x:f>IF(N10&lt;'Assumptions'!$B$8,"Margin review",IF(S10&gt;0,"Usage review",IF(P10&gt;=0.2,"Discount review","No flag")))</x:f>
        <x:v>No flag</x:v>
      </x:c>
      <x:c r="W10" s="1" t="n">
        <x:f>RANK(M10,$M$5:$M$40,1)+COUNTIF($M$5:M10,M10)-1</x:f>
        <x:v>9</x:v>
      </x:c>
    </x:row>
    <x:row r="11" ht="23" customHeight="1">
      <x:c r="A11" s="10" t="str">
        <x:v>C007</x:v>
      </x:c>
      <x:c r="B11" s="10" t="str">
        <x:v>Simulated Studio 07</x:v>
      </x:c>
      <x:c r="C11" s="10" t="str">
        <x:v>Production Houses</x:v>
      </x:c>
      <x:c r="D11" s="10" t="n">
        <x:v>1</x:v>
      </x:c>
      <x:c r="E11" s="17" t="n">
        <x:v>46265</x:v>
      </x:c>
      <x:c r="F11" s="10" t="n">
        <x:v>27</x:v>
      </x:c>
      <x:c r="G11" s="18" t="n">
        <x:v>10800</x:v>
      </x:c>
      <x:c r="H11" s="18" t="n">
        <x:v>2100</x:v>
      </x:c>
      <x:c r="I11" s="18" t="n">
        <x:v>6</x:v>
      </x:c>
      <x:c r="J11" s="18" t="n">
        <x:v>500</x:v>
      </x:c>
      <x:c r="K11" s="1" t="str">
        <x:f>VLOOKUP(D11,'Assumptions'!$A$15:$F$17,2,FALSE)</x:f>
        <x:v>Core</x:v>
      </x:c>
      <x:c r="L11" s="16" t="n">
        <x:f>H11+I11*J11</x:f>
        <x:v>5100</x:v>
      </x:c>
      <x:c r="M11" s="16" t="n">
        <x:f>G11-L11</x:f>
        <x:v>5700</x:v>
      </x:c>
      <x:c r="N11" s="13" t="n">
        <x:f>M11/G11</x:f>
        <x:v>0.5277777777777778</x:v>
      </x:c>
      <x:c r="O11" s="16" t="n">
        <x:f>G11*12</x:f>
        <x:v>129600</x:v>
      </x:c>
      <x:c r="P11" s="13" t="n">
        <x:f>ROUND(1-G11/VLOOKUP(D11,'Assumptions'!$A$15:$F$17,3,FALSE),4)</x:f>
        <x:v>0.1</x:v>
      </x:c>
      <x:c r="Q11" s="16" t="n">
        <x:f>G11/F11</x:f>
        <x:v>400</x:v>
      </x:c>
      <x:c r="R11" s="13" t="n">
        <x:f>L11/G11</x:f>
        <x:v>0.4722222222222222</x:v>
      </x:c>
      <x:c r="S11" s="16" t="n">
        <x:f>MAX(F11-VLOOKUP(D11,'Assumptions'!$A$15:$F$17,5,FALSE),0)*VLOOKUP(D11,'Assumptions'!$A$15:$F$17,6,FALSE)</x:f>
        <x:v>400</x:v>
      </x:c>
      <x:c r="T11" s="16" t="n">
        <x:f>ROUND(G11*(1+VLOOKUP(D11,'Assumptions'!$A$15:$F$17,4,FALSE)),2)+S11</x:f>
        <x:v>12064</x:v>
      </x:c>
      <x:c r="U11" s="16" t="n">
        <x:f>T11-L11</x:f>
        <x:v>6964</x:v>
      </x:c>
      <x:c r="V11" s="1" t="str">
        <x:f>IF(N11&lt;'Assumptions'!$B$8,"Margin review",IF(S11&gt;0,"Usage review",IF(P11&gt;=0.2,"Discount review","No flag")))</x:f>
        <x:v>Usage review</x:v>
      </x:c>
      <x:c r="W11" s="1" t="n">
        <x:f>RANK(M11,$M$5:$M$40,1)+COUNTIF($M$5:M11,M11)-1</x:f>
        <x:v>6</x:v>
      </x:c>
    </x:row>
    <x:row r="12" ht="23" customHeight="1">
      <x:c r="A12" s="10" t="str">
        <x:v>C008</x:v>
      </x:c>
      <x:c r="B12" s="10" t="str">
        <x:v>Simulated Studio 08</x:v>
      </x:c>
      <x:c r="C12" s="10" t="str">
        <x:v>Production Houses</x:v>
      </x:c>
      <x:c r="D12" s="10" t="n">
        <x:v>1</x:v>
      </x:c>
      <x:c r="E12" s="17" t="n">
        <x:v>46265</x:v>
      </x:c>
      <x:c r="F12" s="10" t="n">
        <x:v>28</x:v>
      </x:c>
      <x:c r="G12" s="18" t="n">
        <x:v>9600</x:v>
      </x:c>
      <x:c r="H12" s="18" t="n">
        <x:v>2200</x:v>
      </x:c>
      <x:c r="I12" s="18" t="n">
        <x:v>8</x:v>
      </x:c>
      <x:c r="J12" s="18" t="n">
        <x:v>500</x:v>
      </x:c>
      <x:c r="K12" s="1" t="str">
        <x:f>VLOOKUP(D12,'Assumptions'!$A$15:$F$17,2,FALSE)</x:f>
        <x:v>Core</x:v>
      </x:c>
      <x:c r="L12" s="16" t="n">
        <x:f>H12+I12*J12</x:f>
        <x:v>6200</x:v>
      </x:c>
      <x:c r="M12" s="16" t="n">
        <x:f>G12-L12</x:f>
        <x:v>3400</x:v>
      </x:c>
      <x:c r="N12" s="13" t="n">
        <x:f>M12/G12</x:f>
        <x:v>0.3541666666666667</x:v>
      </x:c>
      <x:c r="O12" s="16" t="n">
        <x:f>G12*12</x:f>
        <x:v>115200</x:v>
      </x:c>
      <x:c r="P12" s="13" t="n">
        <x:f>ROUND(1-G12/VLOOKUP(D12,'Assumptions'!$A$15:$F$17,3,FALSE),4)</x:f>
        <x:v>0.2</x:v>
      </x:c>
      <x:c r="Q12" s="16" t="n">
        <x:f>G12/F12</x:f>
        <x:v>342.85714285714283</x:v>
      </x:c>
      <x:c r="R12" s="13" t="n">
        <x:f>L12/G12</x:f>
        <x:v>0.6458333333333334</x:v>
      </x:c>
      <x:c r="S12" s="16" t="n">
        <x:f>MAX(F12-VLOOKUP(D12,'Assumptions'!$A$15:$F$17,5,FALSE),0)*VLOOKUP(D12,'Assumptions'!$A$15:$F$17,6,FALSE)</x:f>
        <x:v>600</x:v>
      </x:c>
      <x:c r="T12" s="16" t="n">
        <x:f>ROUND(G12*(1+VLOOKUP(D12,'Assumptions'!$A$15:$F$17,4,FALSE)),2)+S12</x:f>
        <x:v>10968</x:v>
      </x:c>
      <x:c r="U12" s="16" t="n">
        <x:f>T12-L12</x:f>
        <x:v>4768</x:v>
      </x:c>
      <x:c r="V12" s="1" t="str">
        <x:f>IF(N12&lt;'Assumptions'!$B$8,"Margin review",IF(S12&gt;0,"Usage review",IF(P12&gt;=0.2,"Discount review","No flag")))</x:f>
        <x:v>Margin review</x:v>
      </x:c>
      <x:c r="W12" s="1" t="n">
        <x:f>RANK(M12,$M$5:$M$40,1)+COUNTIF($M$5:M12,M12)-1</x:f>
        <x:v>3</x:v>
      </x:c>
    </x:row>
    <x:row r="13" ht="23" customHeight="1">
      <x:c r="A13" s="10" t="str">
        <x:v>C009</x:v>
      </x:c>
      <x:c r="B13" s="10" t="str">
        <x:v>Simulated Studio 09</x:v>
      </x:c>
      <x:c r="C13" s="10" t="str">
        <x:v>Production Houses</x:v>
      </x:c>
      <x:c r="D13" s="10" t="n">
        <x:v>1</x:v>
      </x:c>
      <x:c r="E13" s="17" t="n">
        <x:v>46265</x:v>
      </x:c>
      <x:c r="F13" s="10" t="n">
        <x:v>30</x:v>
      </x:c>
      <x:c r="G13" s="18" t="n">
        <x:v>12000</x:v>
      </x:c>
      <x:c r="H13" s="18" t="n">
        <x:v>2300</x:v>
      </x:c>
      <x:c r="I13" s="18" t="n">
        <x:v>2</x:v>
      </x:c>
      <x:c r="J13" s="18" t="n">
        <x:v>500</x:v>
      </x:c>
      <x:c r="K13" s="1" t="str">
        <x:f>VLOOKUP(D13,'Assumptions'!$A$15:$F$17,2,FALSE)</x:f>
        <x:v>Core</x:v>
      </x:c>
      <x:c r="L13" s="16" t="n">
        <x:f>H13+I13*J13</x:f>
        <x:v>3300</x:v>
      </x:c>
      <x:c r="M13" s="16" t="n">
        <x:f>G13-L13</x:f>
        <x:v>8700</x:v>
      </x:c>
      <x:c r="N13" s="13" t="n">
        <x:f>M13/G13</x:f>
        <x:v>0.725</x:v>
      </x:c>
      <x:c r="O13" s="16" t="n">
        <x:f>G13*12</x:f>
        <x:v>144000</x:v>
      </x:c>
      <x:c r="P13" s="13" t="n">
        <x:f>ROUND(1-G13/VLOOKUP(D13,'Assumptions'!$A$15:$F$17,3,FALSE),4)</x:f>
        <x:v>0</x:v>
      </x:c>
      <x:c r="Q13" s="16" t="n">
        <x:f>G13/F13</x:f>
        <x:v>400</x:v>
      </x:c>
      <x:c r="R13" s="13" t="n">
        <x:f>L13/G13</x:f>
        <x:v>0.275</x:v>
      </x:c>
      <x:c r="S13" s="16" t="n">
        <x:f>MAX(F13-VLOOKUP(D13,'Assumptions'!$A$15:$F$17,5,FALSE),0)*VLOOKUP(D13,'Assumptions'!$A$15:$F$17,6,FALSE)</x:f>
        <x:v>1000</x:v>
      </x:c>
      <x:c r="T13" s="16" t="n">
        <x:f>ROUND(G13*(1+VLOOKUP(D13,'Assumptions'!$A$15:$F$17,4,FALSE)),2)+S13</x:f>
        <x:v>13960</x:v>
      </x:c>
      <x:c r="U13" s="16" t="n">
        <x:f>T13-L13</x:f>
        <x:v>10660</x:v>
      </x:c>
      <x:c r="V13" s="1" t="str">
        <x:f>IF(N13&lt;'Assumptions'!$B$8,"Margin review",IF(S13&gt;0,"Usage review",IF(P13&gt;=0.2,"Discount review","No flag")))</x:f>
        <x:v>Usage review</x:v>
      </x:c>
      <x:c r="W13" s="1" t="n">
        <x:f>RANK(M13,$M$5:$M$40,1)+COUNTIF($M$5:M13,M13)-1</x:f>
        <x:v>11</x:v>
      </x:c>
    </x:row>
    <x:row r="14" ht="23" customHeight="1">
      <x:c r="A14" s="10" t="str">
        <x:v>C010</x:v>
      </x:c>
      <x:c r="B14" s="10" t="str">
        <x:v>Simulated Studio 10</x:v>
      </x:c>
      <x:c r="C14" s="10" t="str">
        <x:v>Production Houses</x:v>
      </x:c>
      <x:c r="D14" s="10" t="n">
        <x:v>1</x:v>
      </x:c>
      <x:c r="E14" s="17" t="n">
        <x:v>46265</x:v>
      </x:c>
      <x:c r="F14" s="10" t="n">
        <x:v>32</x:v>
      </x:c>
      <x:c r="G14" s="18" t="n">
        <x:v>11400</x:v>
      </x:c>
      <x:c r="H14" s="18" t="n">
        <x:v>2400</x:v>
      </x:c>
      <x:c r="I14" s="18" t="n">
        <x:v>4</x:v>
      </x:c>
      <x:c r="J14" s="18" t="n">
        <x:v>500</x:v>
      </x:c>
      <x:c r="K14" s="1" t="str">
        <x:f>VLOOKUP(D14,'Assumptions'!$A$15:$F$17,2,FALSE)</x:f>
        <x:v>Core</x:v>
      </x:c>
      <x:c r="L14" s="16" t="n">
        <x:f>H14+I14*J14</x:f>
        <x:v>4400</x:v>
      </x:c>
      <x:c r="M14" s="16" t="n">
        <x:f>G14-L14</x:f>
        <x:v>7000</x:v>
      </x:c>
      <x:c r="N14" s="13" t="n">
        <x:f>M14/G14</x:f>
        <x:v>0.6140350877192983</x:v>
      </x:c>
      <x:c r="O14" s="16" t="n">
        <x:f>G14*12</x:f>
        <x:v>136800</x:v>
      </x:c>
      <x:c r="P14" s="13" t="n">
        <x:f>ROUND(1-G14/VLOOKUP(D14,'Assumptions'!$A$15:$F$17,3,FALSE),4)</x:f>
        <x:v>0.05</x:v>
      </x:c>
      <x:c r="Q14" s="16" t="n">
        <x:f>G14/F14</x:f>
        <x:v>356.25</x:v>
      </x:c>
      <x:c r="R14" s="13" t="n">
        <x:f>L14/G14</x:f>
        <x:v>0.38596491228070173</x:v>
      </x:c>
      <x:c r="S14" s="16" t="n">
        <x:f>MAX(F14-VLOOKUP(D14,'Assumptions'!$A$15:$F$17,5,FALSE),0)*VLOOKUP(D14,'Assumptions'!$A$15:$F$17,6,FALSE)</x:f>
        <x:v>1400</x:v>
      </x:c>
      <x:c r="T14" s="16" t="n">
        <x:f>ROUND(G14*(1+VLOOKUP(D14,'Assumptions'!$A$15:$F$17,4,FALSE)),2)+S14</x:f>
        <x:v>13712</x:v>
      </x:c>
      <x:c r="U14" s="16" t="n">
        <x:f>T14-L14</x:f>
        <x:v>9312</x:v>
      </x:c>
      <x:c r="V14" s="1" t="str">
        <x:f>IF(N14&lt;'Assumptions'!$B$8,"Margin review",IF(S14&gt;0,"Usage review",IF(P14&gt;=0.2,"Discount review","No flag")))</x:f>
        <x:v>Usage review</x:v>
      </x:c>
      <x:c r="W14" s="1" t="n">
        <x:f>RANK(M14,$M$5:$M$40,1)+COUNTIF($M$5:M14,M14)-1</x:f>
        <x:v>8</x:v>
      </x:c>
    </x:row>
    <x:row r="15" ht="23" customHeight="1">
      <x:c r="A15" s="10" t="str">
        <x:v>C011</x:v>
      </x:c>
      <x:c r="B15" s="10" t="str">
        <x:v>Simulated Studio 11</x:v>
      </x:c>
      <x:c r="C15" s="10" t="str">
        <x:v>Streaming Studios</x:v>
      </x:c>
      <x:c r="D15" s="10" t="n">
        <x:v>1</x:v>
      </x:c>
      <x:c r="E15" s="17" t="n">
        <x:v>46265</x:v>
      </x:c>
      <x:c r="F15" s="10" t="n">
        <x:v>35</x:v>
      </x:c>
      <x:c r="G15" s="18" t="n">
        <x:v>10800</x:v>
      </x:c>
      <x:c r="H15" s="18" t="n">
        <x:v>2500</x:v>
      </x:c>
      <x:c r="I15" s="18" t="n">
        <x:v>6</x:v>
      </x:c>
      <x:c r="J15" s="18" t="n">
        <x:v>500</x:v>
      </x:c>
      <x:c r="K15" s="1" t="str">
        <x:f>VLOOKUP(D15,'Assumptions'!$A$15:$F$17,2,FALSE)</x:f>
        <x:v>Core</x:v>
      </x:c>
      <x:c r="L15" s="16" t="n">
        <x:f>H15+I15*J15</x:f>
        <x:v>5500</x:v>
      </x:c>
      <x:c r="M15" s="16" t="n">
        <x:f>G15-L15</x:f>
        <x:v>5300</x:v>
      </x:c>
      <x:c r="N15" s="13" t="n">
        <x:f>M15/G15</x:f>
        <x:v>0.49074074074074076</x:v>
      </x:c>
      <x:c r="O15" s="16" t="n">
        <x:f>G15*12</x:f>
        <x:v>129600</x:v>
      </x:c>
      <x:c r="P15" s="13" t="n">
        <x:f>ROUND(1-G15/VLOOKUP(D15,'Assumptions'!$A$15:$F$17,3,FALSE),4)</x:f>
        <x:v>0.1</x:v>
      </x:c>
      <x:c r="Q15" s="16" t="n">
        <x:f>G15/F15</x:f>
        <x:v>308.57142857142856</x:v>
      </x:c>
      <x:c r="R15" s="13" t="n">
        <x:f>L15/G15</x:f>
        <x:v>0.5092592592592593</x:v>
      </x:c>
      <x:c r="S15" s="16" t="n">
        <x:f>MAX(F15-VLOOKUP(D15,'Assumptions'!$A$15:$F$17,5,FALSE),0)*VLOOKUP(D15,'Assumptions'!$A$15:$F$17,6,FALSE)</x:f>
        <x:v>2000</x:v>
      </x:c>
      <x:c r="T15" s="16" t="n">
        <x:f>ROUND(G15*(1+VLOOKUP(D15,'Assumptions'!$A$15:$F$17,4,FALSE)),2)+S15</x:f>
        <x:v>13664</x:v>
      </x:c>
      <x:c r="U15" s="16" t="n">
        <x:f>T15-L15</x:f>
        <x:v>8164</x:v>
      </x:c>
      <x:c r="V15" s="1" t="str">
        <x:f>IF(N15&lt;'Assumptions'!$B$8,"Margin review",IF(S15&gt;0,"Usage review",IF(P15&gt;=0.2,"Discount review","No flag")))</x:f>
        <x:v>Margin review</x:v>
      </x:c>
      <x:c r="W15" s="1" t="n">
        <x:f>RANK(M15,$M$5:$M$40,1)+COUNTIF($M$5:M15,M15)-1</x:f>
        <x:v>5</x:v>
      </x:c>
    </x:row>
    <x:row r="16" ht="23" customHeight="1">
      <x:c r="A16" s="10" t="str">
        <x:v>C012</x:v>
      </x:c>
      <x:c r="B16" s="10" t="str">
        <x:v>Simulated Studio 12</x:v>
      </x:c>
      <x:c r="C16" s="10" t="str">
        <x:v>Streaming Studios</x:v>
      </x:c>
      <x:c r="D16" s="10" t="n">
        <x:v>1</x:v>
      </x:c>
      <x:c r="E16" s="17" t="n">
        <x:v>46265</x:v>
      </x:c>
      <x:c r="F16" s="10" t="n">
        <x:v>40</x:v>
      </x:c>
      <x:c r="G16" s="18" t="n">
        <x:v>9600</x:v>
      </x:c>
      <x:c r="H16" s="18" t="n">
        <x:v>2600</x:v>
      </x:c>
      <x:c r="I16" s="18" t="n">
        <x:v>24</x:v>
      </x:c>
      <x:c r="J16" s="18" t="n">
        <x:v>500</x:v>
      </x:c>
      <x:c r="K16" s="1" t="str">
        <x:f>VLOOKUP(D16,'Assumptions'!$A$15:$F$17,2,FALSE)</x:f>
        <x:v>Core</x:v>
      </x:c>
      <x:c r="L16" s="16" t="n">
        <x:f>H16+I16*J16</x:f>
        <x:v>14600</x:v>
      </x:c>
      <x:c r="M16" s="16" t="n">
        <x:f>G16-L16</x:f>
        <x:v>-5000</x:v>
      </x:c>
      <x:c r="N16" s="13" t="n">
        <x:f>M16/G16</x:f>
        <x:v>-0.5208333333333334</x:v>
      </x:c>
      <x:c r="O16" s="16" t="n">
        <x:f>G16*12</x:f>
        <x:v>115200</x:v>
      </x:c>
      <x:c r="P16" s="13" t="n">
        <x:f>ROUND(1-G16/VLOOKUP(D16,'Assumptions'!$A$15:$F$17,3,FALSE),4)</x:f>
        <x:v>0.2</x:v>
      </x:c>
      <x:c r="Q16" s="16" t="n">
        <x:f>G16/F16</x:f>
        <x:v>240</x:v>
      </x:c>
      <x:c r="R16" s="13" t="n">
        <x:f>L16/G16</x:f>
        <x:v>1.5208333333333333</x:v>
      </x:c>
      <x:c r="S16" s="16" t="n">
        <x:f>MAX(F16-VLOOKUP(D16,'Assumptions'!$A$15:$F$17,5,FALSE),0)*VLOOKUP(D16,'Assumptions'!$A$15:$F$17,6,FALSE)</x:f>
        <x:v>3000</x:v>
      </x:c>
      <x:c r="T16" s="16" t="n">
        <x:f>ROUND(G16*(1+VLOOKUP(D16,'Assumptions'!$A$15:$F$17,4,FALSE)),2)+S16</x:f>
        <x:v>13368</x:v>
      </x:c>
      <x:c r="U16" s="16" t="n">
        <x:f>T16-L16</x:f>
        <x:v>-1232</x:v>
      </x:c>
      <x:c r="V16" s="1" t="str">
        <x:f>IF(N16&lt;'Assumptions'!$B$8,"Margin review",IF(S16&gt;0,"Usage review",IF(P16&gt;=0.2,"Discount review","No flag")))</x:f>
        <x:v>Margin review</x:v>
      </x:c>
      <x:c r="W16" s="1" t="n">
        <x:f>RANK(M16,$M$5:$M$40,1)+COUNTIF($M$5:M16,M16)-1</x:f>
        <x:v>1</x:v>
      </x:c>
    </x:row>
    <x:row r="17" ht="23" customHeight="1">
      <x:c r="A17" s="10" t="str">
        <x:v>C013</x:v>
      </x:c>
      <x:c r="B17" s="10" t="str">
        <x:v>Simulated Studio 13</x:v>
      </x:c>
      <x:c r="C17" s="10" t="str">
        <x:v>Independent Studios</x:v>
      </x:c>
      <x:c r="D17" s="10" t="n">
        <x:v>2</x:v>
      </x:c>
      <x:c r="E17" s="17" t="n">
        <x:v>46265</x:v>
      </x:c>
      <x:c r="F17" s="10" t="n">
        <x:v>45</x:v>
      </x:c>
      <x:c r="G17" s="18" t="n">
        <x:v>25000</x:v>
      </x:c>
      <x:c r="H17" s="18" t="n">
        <x:v>3500</x:v>
      </x:c>
      <x:c r="I17" s="18" t="n">
        <x:v>4</x:v>
      </x:c>
      <x:c r="J17" s="18" t="n">
        <x:v>500</x:v>
      </x:c>
      <x:c r="K17" s="1" t="str">
        <x:f>VLOOKUP(D17,'Assumptions'!$A$15:$F$17,2,FALSE)</x:f>
        <x:v>Growth</x:v>
      </x:c>
      <x:c r="L17" s="16" t="n">
        <x:f>H17+I17*J17</x:f>
        <x:v>5500</x:v>
      </x:c>
      <x:c r="M17" s="16" t="n">
        <x:f>G17-L17</x:f>
        <x:v>19500</x:v>
      </x:c>
      <x:c r="N17" s="13" t="n">
        <x:f>M17/G17</x:f>
        <x:v>0.78</x:v>
      </x:c>
      <x:c r="O17" s="16" t="n">
        <x:f>G17*12</x:f>
        <x:v>300000</x:v>
      </x:c>
      <x:c r="P17" s="13" t="n">
        <x:f>ROUND(1-G17/VLOOKUP(D17,'Assumptions'!$A$15:$F$17,3,FALSE),4)</x:f>
        <x:v>0</x:v>
      </x:c>
      <x:c r="Q17" s="16" t="n">
        <x:f>G17/F17</x:f>
        <x:v>555.5555555555555</x:v>
      </x:c>
      <x:c r="R17" s="13" t="n">
        <x:f>L17/G17</x:f>
        <x:v>0.22</x:v>
      </x:c>
      <x:c r="S17" s="16" t="n">
        <x:f>MAX(F17-VLOOKUP(D17,'Assumptions'!$A$15:$F$17,5,FALSE),0)*VLOOKUP(D17,'Assumptions'!$A$15:$F$17,6,FALSE)</x:f>
        <x:v>0</x:v>
      </x:c>
      <x:c r="T17" s="16" t="n">
        <x:f>ROUND(G17*(1+VLOOKUP(D17,'Assumptions'!$A$15:$F$17,4,FALSE)),2)+S17</x:f>
        <x:v>27500</x:v>
      </x:c>
      <x:c r="U17" s="16" t="n">
        <x:f>T17-L17</x:f>
        <x:v>22000</x:v>
      </x:c>
      <x:c r="V17" s="1" t="str">
        <x:f>IF(N17&lt;'Assumptions'!$B$8,"Margin review",IF(S17&gt;0,"Usage review",IF(P17&gt;=0.2,"Discount review","No flag")))</x:f>
        <x:v>No flag</x:v>
      </x:c>
      <x:c r="W17" s="1" t="n">
        <x:f>RANK(M17,$M$5:$M$40,1)+COUNTIF($M$5:M17,M17)-1</x:f>
        <x:v>25</x:v>
      </x:c>
    </x:row>
    <x:row r="18" ht="23" customHeight="1">
      <x:c r="A18" s="10" t="str">
        <x:v>C014</x:v>
      </x:c>
      <x:c r="B18" s="10" t="str">
        <x:v>Simulated Studio 14</x:v>
      </x:c>
      <x:c r="C18" s="10" t="str">
        <x:v>Independent Studios</x:v>
      </x:c>
      <x:c r="D18" s="10" t="n">
        <x:v>2</x:v>
      </x:c>
      <x:c r="E18" s="17" t="n">
        <x:v>46265</x:v>
      </x:c>
      <x:c r="F18" s="10" t="n">
        <x:v>50</x:v>
      </x:c>
      <x:c r="G18" s="18" t="n">
        <x:v>23750</x:v>
      </x:c>
      <x:c r="H18" s="18" t="n">
        <x:v>3600</x:v>
      </x:c>
      <x:c r="I18" s="18" t="n">
        <x:v>6</x:v>
      </x:c>
      <x:c r="J18" s="18" t="n">
        <x:v>500</x:v>
      </x:c>
      <x:c r="K18" s="1" t="str">
        <x:f>VLOOKUP(D18,'Assumptions'!$A$15:$F$17,2,FALSE)</x:f>
        <x:v>Growth</x:v>
      </x:c>
      <x:c r="L18" s="16" t="n">
        <x:f>H18+I18*J18</x:f>
        <x:v>6600</x:v>
      </x:c>
      <x:c r="M18" s="16" t="n">
        <x:f>G18-L18</x:f>
        <x:v>17150</x:v>
      </x:c>
      <x:c r="N18" s="13" t="n">
        <x:f>M18/G18</x:f>
        <x:v>0.7221052631578947</x:v>
      </x:c>
      <x:c r="O18" s="16" t="n">
        <x:f>G18*12</x:f>
        <x:v>285000</x:v>
      </x:c>
      <x:c r="P18" s="13" t="n">
        <x:f>ROUND(1-G18/VLOOKUP(D18,'Assumptions'!$A$15:$F$17,3,FALSE),4)</x:f>
        <x:v>0.05</x:v>
      </x:c>
      <x:c r="Q18" s="16" t="n">
        <x:f>G18/F18</x:f>
        <x:v>475</x:v>
      </x:c>
      <x:c r="R18" s="13" t="n">
        <x:f>L18/G18</x:f>
        <x:v>0.27789473684210525</x:v>
      </x:c>
      <x:c r="S18" s="16" t="n">
        <x:f>MAX(F18-VLOOKUP(D18,'Assumptions'!$A$15:$F$17,5,FALSE),0)*VLOOKUP(D18,'Assumptions'!$A$15:$F$17,6,FALSE)</x:f>
        <x:v>0</x:v>
      </x:c>
      <x:c r="T18" s="16" t="n">
        <x:f>ROUND(G18*(1+VLOOKUP(D18,'Assumptions'!$A$15:$F$17,4,FALSE)),2)+S18</x:f>
        <x:v>26125</x:v>
      </x:c>
      <x:c r="U18" s="16" t="n">
        <x:f>T18-L18</x:f>
        <x:v>19525</x:v>
      </x:c>
      <x:c r="V18" s="1" t="str">
        <x:f>IF(N18&lt;'Assumptions'!$B$8,"Margin review",IF(S18&gt;0,"Usage review",IF(P18&gt;=0.2,"Discount review","No flag")))</x:f>
        <x:v>No flag</x:v>
      </x:c>
      <x:c r="W18" s="1" t="n">
        <x:f>RANK(M18,$M$5:$M$40,1)+COUNTIF($M$5:M18,M18)-1</x:f>
        <x:v>22</x:v>
      </x:c>
    </x:row>
    <x:row r="19" ht="23" customHeight="1">
      <x:c r="A19" s="10" t="str">
        <x:v>C015</x:v>
      </x:c>
      <x:c r="B19" s="10" t="str">
        <x:v>Simulated Studio 15</x:v>
      </x:c>
      <x:c r="C19" s="10" t="str">
        <x:v>Independent Studios</x:v>
      </x:c>
      <x:c r="D19" s="10" t="n">
        <x:v>2</x:v>
      </x:c>
      <x:c r="E19" s="17" t="n">
        <x:v>46265</x:v>
      </x:c>
      <x:c r="F19" s="10" t="n">
        <x:v>55</x:v>
      </x:c>
      <x:c r="G19" s="18" t="n">
        <x:v>22500</x:v>
      </x:c>
      <x:c r="H19" s="18" t="n">
        <x:v>3700</x:v>
      </x:c>
      <x:c r="I19" s="18" t="n">
        <x:v>8</x:v>
      </x:c>
      <x:c r="J19" s="18" t="n">
        <x:v>500</x:v>
      </x:c>
      <x:c r="K19" s="1" t="str">
        <x:f>VLOOKUP(D19,'Assumptions'!$A$15:$F$17,2,FALSE)</x:f>
        <x:v>Growth</x:v>
      </x:c>
      <x:c r="L19" s="16" t="n">
        <x:f>H19+I19*J19</x:f>
        <x:v>7700</x:v>
      </x:c>
      <x:c r="M19" s="16" t="n">
        <x:f>G19-L19</x:f>
        <x:v>14800</x:v>
      </x:c>
      <x:c r="N19" s="13" t="n">
        <x:f>M19/G19</x:f>
        <x:v>0.6577777777777778</x:v>
      </x:c>
      <x:c r="O19" s="16" t="n">
        <x:f>G19*12</x:f>
        <x:v>270000</x:v>
      </x:c>
      <x:c r="P19" s="13" t="n">
        <x:f>ROUND(1-G19/VLOOKUP(D19,'Assumptions'!$A$15:$F$17,3,FALSE),4)</x:f>
        <x:v>0.1</x:v>
      </x:c>
      <x:c r="Q19" s="16" t="n">
        <x:f>G19/F19</x:f>
        <x:v>409.09090909090907</x:v>
      </x:c>
      <x:c r="R19" s="13" t="n">
        <x:f>L19/G19</x:f>
        <x:v>0.3422222222222222</x:v>
      </x:c>
      <x:c r="S19" s="16" t="n">
        <x:f>MAX(F19-VLOOKUP(D19,'Assumptions'!$A$15:$F$17,5,FALSE),0)*VLOOKUP(D19,'Assumptions'!$A$15:$F$17,6,FALSE)</x:f>
        <x:v>0</x:v>
      </x:c>
      <x:c r="T19" s="16" t="n">
        <x:f>ROUND(G19*(1+VLOOKUP(D19,'Assumptions'!$A$15:$F$17,4,FALSE)),2)+S19</x:f>
        <x:v>24750</x:v>
      </x:c>
      <x:c r="U19" s="16" t="n">
        <x:f>T19-L19</x:f>
        <x:v>17050</x:v>
      </x:c>
      <x:c r="V19" s="1" t="str">
        <x:f>IF(N19&lt;'Assumptions'!$B$8,"Margin review",IF(S19&gt;0,"Usage review",IF(P19&gt;=0.2,"Discount review","No flag")))</x:f>
        <x:v>No flag</x:v>
      </x:c>
      <x:c r="W19" s="1" t="n">
        <x:f>RANK(M19,$M$5:$M$40,1)+COUNTIF($M$5:M19,M19)-1</x:f>
        <x:v>19</x:v>
      </x:c>
    </x:row>
    <x:row r="20" ht="23" customHeight="1">
      <x:c r="A20" s="10" t="str">
        <x:v>C016</x:v>
      </x:c>
      <x:c r="B20" s="10" t="str">
        <x:v>Simulated Studio 16</x:v>
      </x:c>
      <x:c r="C20" s="10" t="str">
        <x:v>Production Houses</x:v>
      </x:c>
      <x:c r="D20" s="10" t="n">
        <x:v>2</x:v>
      </x:c>
      <x:c r="E20" s="17" t="n">
        <x:v>46265</x:v>
      </x:c>
      <x:c r="F20" s="10" t="n">
        <x:v>60</x:v>
      </x:c>
      <x:c r="G20" s="18" t="n">
        <x:v>20000</x:v>
      </x:c>
      <x:c r="H20" s="18" t="n">
        <x:v>3800</x:v>
      </x:c>
      <x:c r="I20" s="18" t="n">
        <x:v>10</x:v>
      </x:c>
      <x:c r="J20" s="18" t="n">
        <x:v>500</x:v>
      </x:c>
      <x:c r="K20" s="1" t="str">
        <x:f>VLOOKUP(D20,'Assumptions'!$A$15:$F$17,2,FALSE)</x:f>
        <x:v>Growth</x:v>
      </x:c>
      <x:c r="L20" s="16" t="n">
        <x:f>H20+I20*J20</x:f>
        <x:v>8800</x:v>
      </x:c>
      <x:c r="M20" s="16" t="n">
        <x:f>G20-L20</x:f>
        <x:v>11200</x:v>
      </x:c>
      <x:c r="N20" s="13" t="n">
        <x:f>M20/G20</x:f>
        <x:v>0.56</x:v>
      </x:c>
      <x:c r="O20" s="16" t="n">
        <x:f>G20*12</x:f>
        <x:v>240000</x:v>
      </x:c>
      <x:c r="P20" s="13" t="n">
        <x:f>ROUND(1-G20/VLOOKUP(D20,'Assumptions'!$A$15:$F$17,3,FALSE),4)</x:f>
        <x:v>0.2</x:v>
      </x:c>
      <x:c r="Q20" s="16" t="n">
        <x:f>G20/F20</x:f>
        <x:v>333.3333333333333</x:v>
      </x:c>
      <x:c r="R20" s="13" t="n">
        <x:f>L20/G20</x:f>
        <x:v>0.44</x:v>
      </x:c>
      <x:c r="S20" s="16" t="n">
        <x:f>MAX(F20-VLOOKUP(D20,'Assumptions'!$A$15:$F$17,5,FALSE),0)*VLOOKUP(D20,'Assumptions'!$A$15:$F$17,6,FALSE)</x:f>
        <x:v>0</x:v>
      </x:c>
      <x:c r="T20" s="16" t="n">
        <x:f>ROUND(G20*(1+VLOOKUP(D20,'Assumptions'!$A$15:$F$17,4,FALSE)),2)+S20</x:f>
        <x:v>22000</x:v>
      </x:c>
      <x:c r="U20" s="16" t="n">
        <x:f>T20-L20</x:f>
        <x:v>13200</x:v>
      </x:c>
      <x:c r="V20" s="1" t="str">
        <x:f>IF(N20&lt;'Assumptions'!$B$8,"Margin review",IF(S20&gt;0,"Usage review",IF(P20&gt;=0.2,"Discount review","No flag")))</x:f>
        <x:v>Discount review</x:v>
      </x:c>
      <x:c r="W20" s="1" t="n">
        <x:f>RANK(M20,$M$5:$M$40,1)+COUNTIF($M$5:M20,M20)-1</x:f>
        <x:v>16</x:v>
      </x:c>
    </x:row>
    <x:row r="21" ht="23" customHeight="1">
      <x:c r="A21" s="10" t="str">
        <x:v>C017</x:v>
      </x:c>
      <x:c r="B21" s="10" t="str">
        <x:v>Simulated Studio 17</x:v>
      </x:c>
      <x:c r="C21" s="10" t="str">
        <x:v>Production Houses</x:v>
      </x:c>
      <x:c r="D21" s="10" t="n">
        <x:v>2</x:v>
      </x:c>
      <x:c r="E21" s="17" t="n">
        <x:v>46265</x:v>
      </x:c>
      <x:c r="F21" s="10" t="n">
        <x:v>65</x:v>
      </x:c>
      <x:c r="G21" s="18" t="n">
        <x:v>25000</x:v>
      </x:c>
      <x:c r="H21" s="18" t="n">
        <x:v>3900</x:v>
      </x:c>
      <x:c r="I21" s="18" t="n">
        <x:v>4</x:v>
      </x:c>
      <x:c r="J21" s="18" t="n">
        <x:v>500</x:v>
      </x:c>
      <x:c r="K21" s="1" t="str">
        <x:f>VLOOKUP(D21,'Assumptions'!$A$15:$F$17,2,FALSE)</x:f>
        <x:v>Growth</x:v>
      </x:c>
      <x:c r="L21" s="16" t="n">
        <x:f>H21+I21*J21</x:f>
        <x:v>5900</x:v>
      </x:c>
      <x:c r="M21" s="16" t="n">
        <x:f>G21-L21</x:f>
        <x:v>19100</x:v>
      </x:c>
      <x:c r="N21" s="13" t="n">
        <x:f>M21/G21</x:f>
        <x:v>0.764</x:v>
      </x:c>
      <x:c r="O21" s="16" t="n">
        <x:f>G21*12</x:f>
        <x:v>300000</x:v>
      </x:c>
      <x:c r="P21" s="13" t="n">
        <x:f>ROUND(1-G21/VLOOKUP(D21,'Assumptions'!$A$15:$F$17,3,FALSE),4)</x:f>
        <x:v>0</x:v>
      </x:c>
      <x:c r="Q21" s="16" t="n">
        <x:f>G21/F21</x:f>
        <x:v>384.61538461538464</x:v>
      </x:c>
      <x:c r="R21" s="13" t="n">
        <x:f>L21/G21</x:f>
        <x:v>0.236</x:v>
      </x:c>
      <x:c r="S21" s="16" t="n">
        <x:f>MAX(F21-VLOOKUP(D21,'Assumptions'!$A$15:$F$17,5,FALSE),0)*VLOOKUP(D21,'Assumptions'!$A$15:$F$17,6,FALSE)</x:f>
        <x:v>0</x:v>
      </x:c>
      <x:c r="T21" s="16" t="n">
        <x:f>ROUND(G21*(1+VLOOKUP(D21,'Assumptions'!$A$15:$F$17,4,FALSE)),2)+S21</x:f>
        <x:v>27500</x:v>
      </x:c>
      <x:c r="U21" s="16" t="n">
        <x:f>T21-L21</x:f>
        <x:v>21600</x:v>
      </x:c>
      <x:c r="V21" s="1" t="str">
        <x:f>IF(N21&lt;'Assumptions'!$B$8,"Margin review",IF(S21&gt;0,"Usage review",IF(P21&gt;=0.2,"Discount review","No flag")))</x:f>
        <x:v>No flag</x:v>
      </x:c>
      <x:c r="W21" s="1" t="n">
        <x:f>RANK(M21,$M$5:$M$40,1)+COUNTIF($M$5:M21,M21)-1</x:f>
        <x:v>24</x:v>
      </x:c>
    </x:row>
    <x:row r="22" ht="23" customHeight="1">
      <x:c r="A22" s="10" t="str">
        <x:v>C018</x:v>
      </x:c>
      <x:c r="B22" s="10" t="str">
        <x:v>Simulated Studio 18</x:v>
      </x:c>
      <x:c r="C22" s="10" t="str">
        <x:v>Production Houses</x:v>
      </x:c>
      <x:c r="D22" s="10" t="n">
        <x:v>2</x:v>
      </x:c>
      <x:c r="E22" s="17" t="n">
        <x:v>46265</x:v>
      </x:c>
      <x:c r="F22" s="10" t="n">
        <x:v>70</x:v>
      </x:c>
      <x:c r="G22" s="18" t="n">
        <x:v>23750</x:v>
      </x:c>
      <x:c r="H22" s="18" t="n">
        <x:v>4000</x:v>
      </x:c>
      <x:c r="I22" s="18" t="n">
        <x:v>6</x:v>
      </x:c>
      <x:c r="J22" s="18" t="n">
        <x:v>500</x:v>
      </x:c>
      <x:c r="K22" s="1" t="str">
        <x:f>VLOOKUP(D22,'Assumptions'!$A$15:$F$17,2,FALSE)</x:f>
        <x:v>Growth</x:v>
      </x:c>
      <x:c r="L22" s="16" t="n">
        <x:f>H22+I22*J22</x:f>
        <x:v>7000</x:v>
      </x:c>
      <x:c r="M22" s="16" t="n">
        <x:f>G22-L22</x:f>
        <x:v>16750</x:v>
      </x:c>
      <x:c r="N22" s="13" t="n">
        <x:f>M22/G22</x:f>
        <x:v>0.7052631578947368</x:v>
      </x:c>
      <x:c r="O22" s="16" t="n">
        <x:f>G22*12</x:f>
        <x:v>285000</x:v>
      </x:c>
      <x:c r="P22" s="13" t="n">
        <x:f>ROUND(1-G22/VLOOKUP(D22,'Assumptions'!$A$15:$F$17,3,FALSE),4)</x:f>
        <x:v>0.05</x:v>
      </x:c>
      <x:c r="Q22" s="16" t="n">
        <x:f>G22/F22</x:f>
        <x:v>339.2857142857143</x:v>
      </x:c>
      <x:c r="R22" s="13" t="n">
        <x:f>L22/G22</x:f>
        <x:v>0.29473684210526313</x:v>
      </x:c>
      <x:c r="S22" s="16" t="n">
        <x:f>MAX(F22-VLOOKUP(D22,'Assumptions'!$A$15:$F$17,5,FALSE),0)*VLOOKUP(D22,'Assumptions'!$A$15:$F$17,6,FALSE)</x:f>
        <x:v>0</x:v>
      </x:c>
      <x:c r="T22" s="16" t="n">
        <x:f>ROUND(G22*(1+VLOOKUP(D22,'Assumptions'!$A$15:$F$17,4,FALSE)),2)+S22</x:f>
        <x:v>26125</x:v>
      </x:c>
      <x:c r="U22" s="16" t="n">
        <x:f>T22-L22</x:f>
        <x:v>19125</x:v>
      </x:c>
      <x:c r="V22" s="1" t="str">
        <x:f>IF(N22&lt;'Assumptions'!$B$8,"Margin review",IF(S22&gt;0,"Usage review",IF(P22&gt;=0.2,"Discount review","No flag")))</x:f>
        <x:v>No flag</x:v>
      </x:c>
      <x:c r="W22" s="1" t="n">
        <x:f>RANK(M22,$M$5:$M$40,1)+COUNTIF($M$5:M22,M22)-1</x:f>
        <x:v>21</x:v>
      </x:c>
    </x:row>
    <x:row r="23" ht="23" customHeight="1">
      <x:c r="A23" s="10" t="str">
        <x:v>C019</x:v>
      </x:c>
      <x:c r="B23" s="10" t="str">
        <x:v>Simulated Studio 19</x:v>
      </x:c>
      <x:c r="C23" s="10" t="str">
        <x:v>Production Houses</x:v>
      </x:c>
      <x:c r="D23" s="10" t="n">
        <x:v>2</x:v>
      </x:c>
      <x:c r="E23" s="17" t="n">
        <x:v>46265</x:v>
      </x:c>
      <x:c r="F23" s="10" t="n">
        <x:v>75</x:v>
      </x:c>
      <x:c r="G23" s="18" t="n">
        <x:v>22500</x:v>
      </x:c>
      <x:c r="H23" s="18" t="n">
        <x:v>4100</x:v>
      </x:c>
      <x:c r="I23" s="18" t="n">
        <x:v>8</x:v>
      </x:c>
      <x:c r="J23" s="18" t="n">
        <x:v>500</x:v>
      </x:c>
      <x:c r="K23" s="1" t="str">
        <x:f>VLOOKUP(D23,'Assumptions'!$A$15:$F$17,2,FALSE)</x:f>
        <x:v>Growth</x:v>
      </x:c>
      <x:c r="L23" s="16" t="n">
        <x:f>H23+I23*J23</x:f>
        <x:v>8100</x:v>
      </x:c>
      <x:c r="M23" s="16" t="n">
        <x:f>G23-L23</x:f>
        <x:v>14400</x:v>
      </x:c>
      <x:c r="N23" s="13" t="n">
        <x:f>M23/G23</x:f>
        <x:v>0.64</x:v>
      </x:c>
      <x:c r="O23" s="16" t="n">
        <x:f>G23*12</x:f>
        <x:v>270000</x:v>
      </x:c>
      <x:c r="P23" s="13" t="n">
        <x:f>ROUND(1-G23/VLOOKUP(D23,'Assumptions'!$A$15:$F$17,3,FALSE),4)</x:f>
        <x:v>0.1</x:v>
      </x:c>
      <x:c r="Q23" s="16" t="n">
        <x:f>G23/F23</x:f>
        <x:v>300</x:v>
      </x:c>
      <x:c r="R23" s="13" t="n">
        <x:f>L23/G23</x:f>
        <x:v>0.36</x:v>
      </x:c>
      <x:c r="S23" s="16" t="n">
        <x:f>MAX(F23-VLOOKUP(D23,'Assumptions'!$A$15:$F$17,5,FALSE),0)*VLOOKUP(D23,'Assumptions'!$A$15:$F$17,6,FALSE)</x:f>
        <x:v>0</x:v>
      </x:c>
      <x:c r="T23" s="16" t="n">
        <x:f>ROUND(G23*(1+VLOOKUP(D23,'Assumptions'!$A$15:$F$17,4,FALSE)),2)+S23</x:f>
        <x:v>24750</x:v>
      </x:c>
      <x:c r="U23" s="16" t="n">
        <x:f>T23-L23</x:f>
        <x:v>16650</x:v>
      </x:c>
      <x:c r="V23" s="1" t="str">
        <x:f>IF(N23&lt;'Assumptions'!$B$8,"Margin review",IF(S23&gt;0,"Usage review",IF(P23&gt;=0.2,"Discount review","No flag")))</x:f>
        <x:v>No flag</x:v>
      </x:c>
      <x:c r="W23" s="1" t="n">
        <x:f>RANK(M23,$M$5:$M$40,1)+COUNTIF($M$5:M23,M23)-1</x:f>
        <x:v>18</x:v>
      </x:c>
    </x:row>
    <x:row r="24" ht="23" customHeight="1">
      <x:c r="A24" s="10" t="str">
        <x:v>C020</x:v>
      </x:c>
      <x:c r="B24" s="10" t="str">
        <x:v>Simulated Studio 20</x:v>
      </x:c>
      <x:c r="C24" s="10" t="str">
        <x:v>Production Houses</x:v>
      </x:c>
      <x:c r="D24" s="10" t="n">
        <x:v>2</x:v>
      </x:c>
      <x:c r="E24" s="17" t="n">
        <x:v>46265</x:v>
      </x:c>
      <x:c r="F24" s="10" t="n">
        <x:v>80</x:v>
      </x:c>
      <x:c r="G24" s="18" t="n">
        <x:v>20000</x:v>
      </x:c>
      <x:c r="H24" s="18" t="n">
        <x:v>4200</x:v>
      </x:c>
      <x:c r="I24" s="18" t="n">
        <x:v>10</x:v>
      </x:c>
      <x:c r="J24" s="18" t="n">
        <x:v>500</x:v>
      </x:c>
      <x:c r="K24" s="1" t="str">
        <x:f>VLOOKUP(D24,'Assumptions'!$A$15:$F$17,2,FALSE)</x:f>
        <x:v>Growth</x:v>
      </x:c>
      <x:c r="L24" s="16" t="n">
        <x:f>H24+I24*J24</x:f>
        <x:v>9200</x:v>
      </x:c>
      <x:c r="M24" s="16" t="n">
        <x:f>G24-L24</x:f>
        <x:v>10800</x:v>
      </x:c>
      <x:c r="N24" s="13" t="n">
        <x:f>M24/G24</x:f>
        <x:v>0.54</x:v>
      </x:c>
      <x:c r="O24" s="16" t="n">
        <x:f>G24*12</x:f>
        <x:v>240000</x:v>
      </x:c>
      <x:c r="P24" s="13" t="n">
        <x:f>ROUND(1-G24/VLOOKUP(D24,'Assumptions'!$A$15:$F$17,3,FALSE),4)</x:f>
        <x:v>0.2</x:v>
      </x:c>
      <x:c r="Q24" s="16" t="n">
        <x:f>G24/F24</x:f>
        <x:v>250</x:v>
      </x:c>
      <x:c r="R24" s="13" t="n">
        <x:f>L24/G24</x:f>
        <x:v>0.46</x:v>
      </x:c>
      <x:c r="S24" s="16" t="n">
        <x:f>MAX(F24-VLOOKUP(D24,'Assumptions'!$A$15:$F$17,5,FALSE),0)*VLOOKUP(D24,'Assumptions'!$A$15:$F$17,6,FALSE)</x:f>
        <x:v>0</x:v>
      </x:c>
      <x:c r="T24" s="16" t="n">
        <x:f>ROUND(G24*(1+VLOOKUP(D24,'Assumptions'!$A$15:$F$17,4,FALSE)),2)+S24</x:f>
        <x:v>22000</x:v>
      </x:c>
      <x:c r="U24" s="16" t="n">
        <x:f>T24-L24</x:f>
        <x:v>12800</x:v>
      </x:c>
      <x:c r="V24" s="1" t="str">
        <x:f>IF(N24&lt;'Assumptions'!$B$8,"Margin review",IF(S24&gt;0,"Usage review",IF(P24&gt;=0.2,"Discount review","No flag")))</x:f>
        <x:v>Discount review</x:v>
      </x:c>
      <x:c r="W24" s="1" t="n">
        <x:f>RANK(M24,$M$5:$M$40,1)+COUNTIF($M$5:M24,M24)-1</x:f>
        <x:v>15</x:v>
      </x:c>
    </x:row>
    <x:row r="25" ht="23" customHeight="1">
      <x:c r="A25" s="10" t="str">
        <x:v>C021</x:v>
      </x:c>
      <x:c r="B25" s="10" t="str">
        <x:v>Simulated Studio 21</x:v>
      </x:c>
      <x:c r="C25" s="10" t="str">
        <x:v>Production Houses</x:v>
      </x:c>
      <x:c r="D25" s="10" t="n">
        <x:v>2</x:v>
      </x:c>
      <x:c r="E25" s="17" t="n">
        <x:v>46265</x:v>
      </x:c>
      <x:c r="F25" s="10" t="n">
        <x:v>85</x:v>
      </x:c>
      <x:c r="G25" s="18" t="n">
        <x:v>25000</x:v>
      </x:c>
      <x:c r="H25" s="18" t="n">
        <x:v>4300</x:v>
      </x:c>
      <x:c r="I25" s="18" t="n">
        <x:v>4</x:v>
      </x:c>
      <x:c r="J25" s="18" t="n">
        <x:v>500</x:v>
      </x:c>
      <x:c r="K25" s="1" t="str">
        <x:f>VLOOKUP(D25,'Assumptions'!$A$15:$F$17,2,FALSE)</x:f>
        <x:v>Growth</x:v>
      </x:c>
      <x:c r="L25" s="16" t="n">
        <x:f>H25+I25*J25</x:f>
        <x:v>6300</x:v>
      </x:c>
      <x:c r="M25" s="16" t="n">
        <x:f>G25-L25</x:f>
        <x:v>18700</x:v>
      </x:c>
      <x:c r="N25" s="13" t="n">
        <x:f>M25/G25</x:f>
        <x:v>0.748</x:v>
      </x:c>
      <x:c r="O25" s="16" t="n">
        <x:f>G25*12</x:f>
        <x:v>300000</x:v>
      </x:c>
      <x:c r="P25" s="13" t="n">
        <x:f>ROUND(1-G25/VLOOKUP(D25,'Assumptions'!$A$15:$F$17,3,FALSE),4)</x:f>
        <x:v>0</x:v>
      </x:c>
      <x:c r="Q25" s="16" t="n">
        <x:f>G25/F25</x:f>
        <x:v>294.11764705882354</x:v>
      </x:c>
      <x:c r="R25" s="13" t="n">
        <x:f>L25/G25</x:f>
        <x:v>0.252</x:v>
      </x:c>
      <x:c r="S25" s="16" t="n">
        <x:f>MAX(F25-VLOOKUP(D25,'Assumptions'!$A$15:$F$17,5,FALSE),0)*VLOOKUP(D25,'Assumptions'!$A$15:$F$17,6,FALSE)</x:f>
        <x:v>750</x:v>
      </x:c>
      <x:c r="T25" s="16" t="n">
        <x:f>ROUND(G25*(1+VLOOKUP(D25,'Assumptions'!$A$15:$F$17,4,FALSE)),2)+S25</x:f>
        <x:v>28250</x:v>
      </x:c>
      <x:c r="U25" s="16" t="n">
        <x:f>T25-L25</x:f>
        <x:v>21950</x:v>
      </x:c>
      <x:c r="V25" s="1" t="str">
        <x:f>IF(N25&lt;'Assumptions'!$B$8,"Margin review",IF(S25&gt;0,"Usage review",IF(P25&gt;=0.2,"Discount review","No flag")))</x:f>
        <x:v>Usage review</x:v>
      </x:c>
      <x:c r="W25" s="1" t="n">
        <x:f>RANK(M25,$M$5:$M$40,1)+COUNTIF($M$5:M25,M25)-1</x:f>
        <x:v>23</x:v>
      </x:c>
    </x:row>
    <x:row r="26" ht="23" customHeight="1">
      <x:c r="A26" s="10" t="str">
        <x:v>C022</x:v>
      </x:c>
      <x:c r="B26" s="10" t="str">
        <x:v>Simulated Studio 22</x:v>
      </x:c>
      <x:c r="C26" s="10" t="str">
        <x:v>Streaming Studios</x:v>
      </x:c>
      <x:c r="D26" s="10" t="n">
        <x:v>2</x:v>
      </x:c>
      <x:c r="E26" s="17" t="n">
        <x:v>46265</x:v>
      </x:c>
      <x:c r="F26" s="10" t="n">
        <x:v>90</x:v>
      </x:c>
      <x:c r="G26" s="18" t="n">
        <x:v>23750</x:v>
      </x:c>
      <x:c r="H26" s="18" t="n">
        <x:v>4400</x:v>
      </x:c>
      <x:c r="I26" s="18" t="n">
        <x:v>6</x:v>
      </x:c>
      <x:c r="J26" s="18" t="n">
        <x:v>500</x:v>
      </x:c>
      <x:c r="K26" s="1" t="str">
        <x:f>VLOOKUP(D26,'Assumptions'!$A$15:$F$17,2,FALSE)</x:f>
        <x:v>Growth</x:v>
      </x:c>
      <x:c r="L26" s="16" t="n">
        <x:f>H26+I26*J26</x:f>
        <x:v>7400</x:v>
      </x:c>
      <x:c r="M26" s="16" t="n">
        <x:f>G26-L26</x:f>
        <x:v>16350</x:v>
      </x:c>
      <x:c r="N26" s="13" t="n">
        <x:f>M26/G26</x:f>
        <x:v>0.6884210526315789</x:v>
      </x:c>
      <x:c r="O26" s="16" t="n">
        <x:f>G26*12</x:f>
        <x:v>285000</x:v>
      </x:c>
      <x:c r="P26" s="13" t="n">
        <x:f>ROUND(1-G26/VLOOKUP(D26,'Assumptions'!$A$15:$F$17,3,FALSE),4)</x:f>
        <x:v>0.05</x:v>
      </x:c>
      <x:c r="Q26" s="16" t="n">
        <x:f>G26/F26</x:f>
        <x:v>263.8888888888889</x:v>
      </x:c>
      <x:c r="R26" s="13" t="n">
        <x:f>L26/G26</x:f>
        <x:v>0.31157894736842107</x:v>
      </x:c>
      <x:c r="S26" s="16" t="n">
        <x:f>MAX(F26-VLOOKUP(D26,'Assumptions'!$A$15:$F$17,5,FALSE),0)*VLOOKUP(D26,'Assumptions'!$A$15:$F$17,6,FALSE)</x:f>
        <x:v>1500</x:v>
      </x:c>
      <x:c r="T26" s="16" t="n">
        <x:f>ROUND(G26*(1+VLOOKUP(D26,'Assumptions'!$A$15:$F$17,4,FALSE)),2)+S26</x:f>
        <x:v>27625</x:v>
      </x:c>
      <x:c r="U26" s="16" t="n">
        <x:f>T26-L26</x:f>
        <x:v>20225</x:v>
      </x:c>
      <x:c r="V26" s="1" t="str">
        <x:f>IF(N26&lt;'Assumptions'!$B$8,"Margin review",IF(S26&gt;0,"Usage review",IF(P26&gt;=0.2,"Discount review","No flag")))</x:f>
        <x:v>Usage review</x:v>
      </x:c>
      <x:c r="W26" s="1" t="n">
        <x:f>RANK(M26,$M$5:$M$40,1)+COUNTIF($M$5:M26,M26)-1</x:f>
        <x:v>20</x:v>
      </x:c>
    </x:row>
    <x:row r="27" ht="23" customHeight="1">
      <x:c r="A27" s="10" t="str">
        <x:v>C023</x:v>
      </x:c>
      <x:c r="B27" s="10" t="str">
        <x:v>Simulated Studio 23</x:v>
      </x:c>
      <x:c r="C27" s="10" t="str">
        <x:v>Streaming Studios</x:v>
      </x:c>
      <x:c r="D27" s="10" t="n">
        <x:v>2</x:v>
      </x:c>
      <x:c r="E27" s="17" t="n">
        <x:v>46265</x:v>
      </x:c>
      <x:c r="F27" s="10" t="n">
        <x:v>100</x:v>
      </x:c>
      <x:c r="G27" s="18" t="n">
        <x:v>22500</x:v>
      </x:c>
      <x:c r="H27" s="18" t="n">
        <x:v>4500</x:v>
      </x:c>
      <x:c r="I27" s="18" t="n">
        <x:v>8</x:v>
      </x:c>
      <x:c r="J27" s="18" t="n">
        <x:v>500</x:v>
      </x:c>
      <x:c r="K27" s="1" t="str">
        <x:f>VLOOKUP(D27,'Assumptions'!$A$15:$F$17,2,FALSE)</x:f>
        <x:v>Growth</x:v>
      </x:c>
      <x:c r="L27" s="16" t="n">
        <x:f>H27+I27*J27</x:f>
        <x:v>8500</x:v>
      </x:c>
      <x:c r="M27" s="16" t="n">
        <x:f>G27-L27</x:f>
        <x:v>14000</x:v>
      </x:c>
      <x:c r="N27" s="13" t="n">
        <x:f>M27/G27</x:f>
        <x:v>0.6222222222222222</x:v>
      </x:c>
      <x:c r="O27" s="16" t="n">
        <x:f>G27*12</x:f>
        <x:v>270000</x:v>
      </x:c>
      <x:c r="P27" s="13" t="n">
        <x:f>ROUND(1-G27/VLOOKUP(D27,'Assumptions'!$A$15:$F$17,3,FALSE),4)</x:f>
        <x:v>0.1</x:v>
      </x:c>
      <x:c r="Q27" s="16" t="n">
        <x:f>G27/F27</x:f>
        <x:v>225</x:v>
      </x:c>
      <x:c r="R27" s="13" t="n">
        <x:f>L27/G27</x:f>
        <x:v>0.37777777777777777</x:v>
      </x:c>
      <x:c r="S27" s="16" t="n">
        <x:f>MAX(F27-VLOOKUP(D27,'Assumptions'!$A$15:$F$17,5,FALSE),0)*VLOOKUP(D27,'Assumptions'!$A$15:$F$17,6,FALSE)</x:f>
        <x:v>3000</x:v>
      </x:c>
      <x:c r="T27" s="16" t="n">
        <x:f>ROUND(G27*(1+VLOOKUP(D27,'Assumptions'!$A$15:$F$17,4,FALSE)),2)+S27</x:f>
        <x:v>27750</x:v>
      </x:c>
      <x:c r="U27" s="16" t="n">
        <x:f>T27-L27</x:f>
        <x:v>19250</x:v>
      </x:c>
      <x:c r="V27" s="1" t="str">
        <x:f>IF(N27&lt;'Assumptions'!$B$8,"Margin review",IF(S27&gt;0,"Usage review",IF(P27&gt;=0.2,"Discount review","No flag")))</x:f>
        <x:v>Usage review</x:v>
      </x:c>
      <x:c r="W27" s="1" t="n">
        <x:f>RANK(M27,$M$5:$M$40,1)+COUNTIF($M$5:M27,M27)-1</x:f>
        <x:v>17</x:v>
      </x:c>
    </x:row>
    <x:row r="28" ht="23" customHeight="1">
      <x:c r="A28" s="10" t="str">
        <x:v>C024</x:v>
      </x:c>
      <x:c r="B28" s="10" t="str">
        <x:v>Simulated Studio 24</x:v>
      </x:c>
      <x:c r="C28" s="10" t="str">
        <x:v>Streaming Studios</x:v>
      </x:c>
      <x:c r="D28" s="10" t="n">
        <x:v>2</x:v>
      </x:c>
      <x:c r="E28" s="17" t="n">
        <x:v>46265</x:v>
      </x:c>
      <x:c r="F28" s="10" t="n">
        <x:v>110</x:v>
      </x:c>
      <x:c r="G28" s="18" t="n">
        <x:v>20000</x:v>
      </x:c>
      <x:c r="H28" s="18" t="n">
        <x:v>4600</x:v>
      </x:c>
      <x:c r="I28" s="18" t="n">
        <x:v>30</x:v>
      </x:c>
      <x:c r="J28" s="18" t="n">
        <x:v>500</x:v>
      </x:c>
      <x:c r="K28" s="1" t="str">
        <x:f>VLOOKUP(D28,'Assumptions'!$A$15:$F$17,2,FALSE)</x:f>
        <x:v>Growth</x:v>
      </x:c>
      <x:c r="L28" s="16" t="n">
        <x:f>H28+I28*J28</x:f>
        <x:v>19600</x:v>
      </x:c>
      <x:c r="M28" s="16" t="n">
        <x:f>G28-L28</x:f>
        <x:v>400</x:v>
      </x:c>
      <x:c r="N28" s="13" t="n">
        <x:f>M28/G28</x:f>
        <x:v>0.02</x:v>
      </x:c>
      <x:c r="O28" s="16" t="n">
        <x:f>G28*12</x:f>
        <x:v>240000</x:v>
      </x:c>
      <x:c r="P28" s="13" t="n">
        <x:f>ROUND(1-G28/VLOOKUP(D28,'Assumptions'!$A$15:$F$17,3,FALSE),4)</x:f>
        <x:v>0.2</x:v>
      </x:c>
      <x:c r="Q28" s="16" t="n">
        <x:f>G28/F28</x:f>
        <x:v>181.8181818181818</x:v>
      </x:c>
      <x:c r="R28" s="13" t="n">
        <x:f>L28/G28</x:f>
        <x:v>0.98</x:v>
      </x:c>
      <x:c r="S28" s="16" t="n">
        <x:f>MAX(F28-VLOOKUP(D28,'Assumptions'!$A$15:$F$17,5,FALSE),0)*VLOOKUP(D28,'Assumptions'!$A$15:$F$17,6,FALSE)</x:f>
        <x:v>4500</x:v>
      </x:c>
      <x:c r="T28" s="16" t="n">
        <x:f>ROUND(G28*(1+VLOOKUP(D28,'Assumptions'!$A$15:$F$17,4,FALSE)),2)+S28</x:f>
        <x:v>26500</x:v>
      </x:c>
      <x:c r="U28" s="16" t="n">
        <x:f>T28-L28</x:f>
        <x:v>6900</x:v>
      </x:c>
      <x:c r="V28" s="1" t="str">
        <x:f>IF(N28&lt;'Assumptions'!$B$8,"Margin review",IF(S28&gt;0,"Usage review",IF(P28&gt;=0.2,"Discount review","No flag")))</x:f>
        <x:v>Margin review</x:v>
      </x:c>
      <x:c r="W28" s="1" t="n">
        <x:f>RANK(M28,$M$5:$M$40,1)+COUNTIF($M$5:M28,M28)-1</x:f>
        <x:v>2</x:v>
      </x:c>
    </x:row>
    <x:row r="29" ht="23" customHeight="1">
      <x:c r="A29" s="10" t="str">
        <x:v>C025</x:v>
      </x:c>
      <x:c r="B29" s="10" t="str">
        <x:v>Simulated Studio 25</x:v>
      </x:c>
      <x:c r="C29" s="10" t="str">
        <x:v>Independent Studios</x:v>
      </x:c>
      <x:c r="D29" s="10" t="n">
        <x:v>3</x:v>
      </x:c>
      <x:c r="E29" s="17" t="n">
        <x:v>46265</x:v>
      </x:c>
      <x:c r="F29" s="10" t="n">
        <x:v>140</x:v>
      </x:c>
      <x:c r="G29" s="18" t="n">
        <x:v>50000</x:v>
      </x:c>
      <x:c r="H29" s="18" t="n">
        <x:v>8000</x:v>
      </x:c>
      <x:c r="I29" s="18" t="n">
        <x:v>8</x:v>
      </x:c>
      <x:c r="J29" s="18" t="n">
        <x:v>500</x:v>
      </x:c>
      <x:c r="K29" s="1" t="str">
        <x:f>VLOOKUP(D29,'Assumptions'!$A$15:$F$17,2,FALSE)</x:f>
        <x:v>Enterprise</x:v>
      </x:c>
      <x:c r="L29" s="16" t="n">
        <x:f>H29+I29*J29</x:f>
        <x:v>12000</x:v>
      </x:c>
      <x:c r="M29" s="16" t="n">
        <x:f>G29-L29</x:f>
        <x:v>38000</x:v>
      </x:c>
      <x:c r="N29" s="13" t="n">
        <x:f>M29/G29</x:f>
        <x:v>0.76</x:v>
      </x:c>
      <x:c r="O29" s="16" t="n">
        <x:f>G29*12</x:f>
        <x:v>600000</x:v>
      </x:c>
      <x:c r="P29" s="13" t="n">
        <x:f>ROUND(1-G29/VLOOKUP(D29,'Assumptions'!$A$15:$F$17,3,FALSE),4)</x:f>
        <x:v>0</x:v>
      </x:c>
      <x:c r="Q29" s="16" t="n">
        <x:f>G29/F29</x:f>
        <x:v>357.14285714285717</x:v>
      </x:c>
      <x:c r="R29" s="13" t="n">
        <x:f>L29/G29</x:f>
        <x:v>0.24</x:v>
      </x:c>
      <x:c r="S29" s="16" t="n">
        <x:f>MAX(F29-VLOOKUP(D29,'Assumptions'!$A$15:$F$17,5,FALSE),0)*VLOOKUP(D29,'Assumptions'!$A$15:$F$17,6,FALSE)</x:f>
        <x:v>0</x:v>
      </x:c>
      <x:c r="T29" s="16" t="n">
        <x:f>ROUND(G29*(1+VLOOKUP(D29,'Assumptions'!$A$15:$F$17,4,FALSE)),2)+S29</x:f>
        <x:v>56000</x:v>
      </x:c>
      <x:c r="U29" s="16" t="n">
        <x:f>T29-L29</x:f>
        <x:v>44000</x:v>
      </x:c>
      <x:c r="V29" s="1" t="str">
        <x:f>IF(N29&lt;'Assumptions'!$B$8,"Margin review",IF(S29&gt;0,"Usage review",IF(P29&gt;=0.2,"Discount review","No flag")))</x:f>
        <x:v>No flag</x:v>
      </x:c>
      <x:c r="W29" s="1" t="n">
        <x:f>RANK(M29,$M$5:$M$40,1)+COUNTIF($M$5:M29,M29)-1</x:f>
        <x:v>36</x:v>
      </x:c>
    </x:row>
    <x:row r="30" ht="23" customHeight="1">
      <x:c r="A30" s="10" t="str">
        <x:v>C026</x:v>
      </x:c>
      <x:c r="B30" s="10" t="str">
        <x:v>Simulated Studio 26</x:v>
      </x:c>
      <x:c r="C30" s="10" t="str">
        <x:v>Independent Studios</x:v>
      </x:c>
      <x:c r="D30" s="10" t="n">
        <x:v>3</x:v>
      </x:c>
      <x:c r="E30" s="17" t="n">
        <x:v>46265</x:v>
      </x:c>
      <x:c r="F30" s="10" t="n">
        <x:v>150</x:v>
      </x:c>
      <x:c r="G30" s="18" t="n">
        <x:v>47500</x:v>
      </x:c>
      <x:c r="H30" s="18" t="n">
        <x:v>8100</x:v>
      </x:c>
      <x:c r="I30" s="18" t="n">
        <x:v>10</x:v>
      </x:c>
      <x:c r="J30" s="18" t="n">
        <x:v>500</x:v>
      </x:c>
      <x:c r="K30" s="1" t="str">
        <x:f>VLOOKUP(D30,'Assumptions'!$A$15:$F$17,2,FALSE)</x:f>
        <x:v>Enterprise</x:v>
      </x:c>
      <x:c r="L30" s="16" t="n">
        <x:f>H30+I30*J30</x:f>
        <x:v>13100</x:v>
      </x:c>
      <x:c r="M30" s="16" t="n">
        <x:f>G30-L30</x:f>
        <x:v>34400</x:v>
      </x:c>
      <x:c r="N30" s="13" t="n">
        <x:f>M30/G30</x:f>
        <x:v>0.7242105263157895</x:v>
      </x:c>
      <x:c r="O30" s="16" t="n">
        <x:f>G30*12</x:f>
        <x:v>570000</x:v>
      </x:c>
      <x:c r="P30" s="13" t="n">
        <x:f>ROUND(1-G30/VLOOKUP(D30,'Assumptions'!$A$15:$F$17,3,FALSE),4)</x:f>
        <x:v>0.05</x:v>
      </x:c>
      <x:c r="Q30" s="16" t="n">
        <x:f>G30/F30</x:f>
        <x:v>316.6666666666667</x:v>
      </x:c>
      <x:c r="R30" s="13" t="n">
        <x:f>L30/G30</x:f>
        <x:v>0.27578947368421053</x:v>
      </x:c>
      <x:c r="S30" s="16" t="n">
        <x:f>MAX(F30-VLOOKUP(D30,'Assumptions'!$A$15:$F$17,5,FALSE),0)*VLOOKUP(D30,'Assumptions'!$A$15:$F$17,6,FALSE)</x:f>
        <x:v>0</x:v>
      </x:c>
      <x:c r="T30" s="16" t="n">
        <x:f>ROUND(G30*(1+VLOOKUP(D30,'Assumptions'!$A$15:$F$17,4,FALSE)),2)+S30</x:f>
        <x:v>53200</x:v>
      </x:c>
      <x:c r="U30" s="16" t="n">
        <x:f>T30-L30</x:f>
        <x:v>40100</x:v>
      </x:c>
      <x:c r="V30" s="1" t="str">
        <x:f>IF(N30&lt;'Assumptions'!$B$8,"Margin review",IF(S30&gt;0,"Usage review",IF(P30&gt;=0.2,"Discount review","No flag")))</x:f>
        <x:v>No flag</x:v>
      </x:c>
      <x:c r="W30" s="1" t="n">
        <x:f>RANK(M30,$M$5:$M$40,1)+COUNTIF($M$5:M30,M30)-1</x:f>
        <x:v>33</x:v>
      </x:c>
    </x:row>
    <x:row r="31" ht="23" customHeight="1">
      <x:c r="A31" s="10" t="str">
        <x:v>C027</x:v>
      </x:c>
      <x:c r="B31" s="10" t="str">
        <x:v>Simulated Studio 27</x:v>
      </x:c>
      <x:c r="C31" s="10" t="str">
        <x:v>Production Houses</x:v>
      </x:c>
      <x:c r="D31" s="10" t="n">
        <x:v>3</x:v>
      </x:c>
      <x:c r="E31" s="17" t="n">
        <x:v>46265</x:v>
      </x:c>
      <x:c r="F31" s="10" t="n">
        <x:v>160</x:v>
      </x:c>
      <x:c r="G31" s="18" t="n">
        <x:v>45000</x:v>
      </x:c>
      <x:c r="H31" s="18" t="n">
        <x:v>8200</x:v>
      </x:c>
      <x:c r="I31" s="18" t="n">
        <x:v>12</x:v>
      </x:c>
      <x:c r="J31" s="18" t="n">
        <x:v>500</x:v>
      </x:c>
      <x:c r="K31" s="1" t="str">
        <x:f>VLOOKUP(D31,'Assumptions'!$A$15:$F$17,2,FALSE)</x:f>
        <x:v>Enterprise</x:v>
      </x:c>
      <x:c r="L31" s="16" t="n">
        <x:f>H31+I31*J31</x:f>
        <x:v>14200</x:v>
      </x:c>
      <x:c r="M31" s="16" t="n">
        <x:f>G31-L31</x:f>
        <x:v>30800</x:v>
      </x:c>
      <x:c r="N31" s="13" t="n">
        <x:f>M31/G31</x:f>
        <x:v>0.6844444444444444</x:v>
      </x:c>
      <x:c r="O31" s="16" t="n">
        <x:f>G31*12</x:f>
        <x:v>540000</x:v>
      </x:c>
      <x:c r="P31" s="13" t="n">
        <x:f>ROUND(1-G31/VLOOKUP(D31,'Assumptions'!$A$15:$F$17,3,FALSE),4)</x:f>
        <x:v>0.1</x:v>
      </x:c>
      <x:c r="Q31" s="16" t="n">
        <x:f>G31/F31</x:f>
        <x:v>281.25</x:v>
      </x:c>
      <x:c r="R31" s="13" t="n">
        <x:f>L31/G31</x:f>
        <x:v>0.31555555555555553</x:v>
      </x:c>
      <x:c r="S31" s="16" t="n">
        <x:f>MAX(F31-VLOOKUP(D31,'Assumptions'!$A$15:$F$17,5,FALSE),0)*VLOOKUP(D31,'Assumptions'!$A$15:$F$17,6,FALSE)</x:f>
        <x:v>0</x:v>
      </x:c>
      <x:c r="T31" s="16" t="n">
        <x:f>ROUND(G31*(1+VLOOKUP(D31,'Assumptions'!$A$15:$F$17,4,FALSE)),2)+S31</x:f>
        <x:v>50400</x:v>
      </x:c>
      <x:c r="U31" s="16" t="n">
        <x:f>T31-L31</x:f>
        <x:v>36200</x:v>
      </x:c>
      <x:c r="V31" s="1" t="str">
        <x:f>IF(N31&lt;'Assumptions'!$B$8,"Margin review",IF(S31&gt;0,"Usage review",IF(P31&gt;=0.2,"Discount review","No flag")))</x:f>
        <x:v>No flag</x:v>
      </x:c>
      <x:c r="W31" s="1" t="n">
        <x:f>RANK(M31,$M$5:$M$40,1)+COUNTIF($M$5:M31,M31)-1</x:f>
        <x:v>30</x:v>
      </x:c>
    </x:row>
    <x:row r="32" ht="23" customHeight="1">
      <x:c r="A32" s="10" t="str">
        <x:v>C028</x:v>
      </x:c>
      <x:c r="B32" s="10" t="str">
        <x:v>Simulated Studio 28</x:v>
      </x:c>
      <x:c r="C32" s="10" t="str">
        <x:v>Production Houses</x:v>
      </x:c>
      <x:c r="D32" s="10" t="n">
        <x:v>3</x:v>
      </x:c>
      <x:c r="E32" s="17" t="n">
        <x:v>46265</x:v>
      </x:c>
      <x:c r="F32" s="10" t="n">
        <x:v>170</x:v>
      </x:c>
      <x:c r="G32" s="18" t="n">
        <x:v>40000</x:v>
      </x:c>
      <x:c r="H32" s="18" t="n">
        <x:v>8300</x:v>
      </x:c>
      <x:c r="I32" s="18" t="n">
        <x:v>14</x:v>
      </x:c>
      <x:c r="J32" s="18" t="n">
        <x:v>500</x:v>
      </x:c>
      <x:c r="K32" s="1" t="str">
        <x:f>VLOOKUP(D32,'Assumptions'!$A$15:$F$17,2,FALSE)</x:f>
        <x:v>Enterprise</x:v>
      </x:c>
      <x:c r="L32" s="16" t="n">
        <x:f>H32+I32*J32</x:f>
        <x:v>15300</x:v>
      </x:c>
      <x:c r="M32" s="16" t="n">
        <x:f>G32-L32</x:f>
        <x:v>24700</x:v>
      </x:c>
      <x:c r="N32" s="13" t="n">
        <x:f>M32/G32</x:f>
        <x:v>0.6175</x:v>
      </x:c>
      <x:c r="O32" s="16" t="n">
        <x:f>G32*12</x:f>
        <x:v>480000</x:v>
      </x:c>
      <x:c r="P32" s="13" t="n">
        <x:f>ROUND(1-G32/VLOOKUP(D32,'Assumptions'!$A$15:$F$17,3,FALSE),4)</x:f>
        <x:v>0.2</x:v>
      </x:c>
      <x:c r="Q32" s="16" t="n">
        <x:f>G32/F32</x:f>
        <x:v>235.2941176470588</x:v>
      </x:c>
      <x:c r="R32" s="13" t="n">
        <x:f>L32/G32</x:f>
        <x:v>0.3825</x:v>
      </x:c>
      <x:c r="S32" s="16" t="n">
        <x:f>MAX(F32-VLOOKUP(D32,'Assumptions'!$A$15:$F$17,5,FALSE),0)*VLOOKUP(D32,'Assumptions'!$A$15:$F$17,6,FALSE)</x:f>
        <x:v>0</x:v>
      </x:c>
      <x:c r="T32" s="16" t="n">
        <x:f>ROUND(G32*(1+VLOOKUP(D32,'Assumptions'!$A$15:$F$17,4,FALSE)),2)+S32</x:f>
        <x:v>44800</x:v>
      </x:c>
      <x:c r="U32" s="16" t="n">
        <x:f>T32-L32</x:f>
        <x:v>29500</x:v>
      </x:c>
      <x:c r="V32" s="1" t="str">
        <x:f>IF(N32&lt;'Assumptions'!$B$8,"Margin review",IF(S32&gt;0,"Usage review",IF(P32&gt;=0.2,"Discount review","No flag")))</x:f>
        <x:v>Discount review</x:v>
      </x:c>
      <x:c r="W32" s="1" t="n">
        <x:f>RANK(M32,$M$5:$M$40,1)+COUNTIF($M$5:M32,M32)-1</x:f>
        <x:v>27</x:v>
      </x:c>
    </x:row>
    <x:row r="33" ht="23" customHeight="1">
      <x:c r="A33" s="10" t="str">
        <x:v>C029</x:v>
      </x:c>
      <x:c r="B33" s="10" t="str">
        <x:v>Simulated Studio 29</x:v>
      </x:c>
      <x:c r="C33" s="10" t="str">
        <x:v>Production Houses</x:v>
      </x:c>
      <x:c r="D33" s="10" t="n">
        <x:v>3</x:v>
      </x:c>
      <x:c r="E33" s="17" t="n">
        <x:v>46265</x:v>
      </x:c>
      <x:c r="F33" s="10" t="n">
        <x:v>180</x:v>
      </x:c>
      <x:c r="G33" s="18" t="n">
        <x:v>50000</x:v>
      </x:c>
      <x:c r="H33" s="18" t="n">
        <x:v>8400</x:v>
      </x:c>
      <x:c r="I33" s="18" t="n">
        <x:v>8</x:v>
      </x:c>
      <x:c r="J33" s="18" t="n">
        <x:v>500</x:v>
      </x:c>
      <x:c r="K33" s="1" t="str">
        <x:f>VLOOKUP(D33,'Assumptions'!$A$15:$F$17,2,FALSE)</x:f>
        <x:v>Enterprise</x:v>
      </x:c>
      <x:c r="L33" s="16" t="n">
        <x:f>H33+I33*J33</x:f>
        <x:v>12400</x:v>
      </x:c>
      <x:c r="M33" s="16" t="n">
        <x:f>G33-L33</x:f>
        <x:v>37600</x:v>
      </x:c>
      <x:c r="N33" s="13" t="n">
        <x:f>M33/G33</x:f>
        <x:v>0.752</x:v>
      </x:c>
      <x:c r="O33" s="16" t="n">
        <x:f>G33*12</x:f>
        <x:v>600000</x:v>
      </x:c>
      <x:c r="P33" s="13" t="n">
        <x:f>ROUND(1-G33/VLOOKUP(D33,'Assumptions'!$A$15:$F$17,3,FALSE),4)</x:f>
        <x:v>0</x:v>
      </x:c>
      <x:c r="Q33" s="16" t="n">
        <x:f>G33/F33</x:f>
        <x:v>277.77777777777777</x:v>
      </x:c>
      <x:c r="R33" s="13" t="n">
        <x:f>L33/G33</x:f>
        <x:v>0.248</x:v>
      </x:c>
      <x:c r="S33" s="16" t="n">
        <x:f>MAX(F33-VLOOKUP(D33,'Assumptions'!$A$15:$F$17,5,FALSE),0)*VLOOKUP(D33,'Assumptions'!$A$15:$F$17,6,FALSE)</x:f>
        <x:v>0</x:v>
      </x:c>
      <x:c r="T33" s="16" t="n">
        <x:f>ROUND(G33*(1+VLOOKUP(D33,'Assumptions'!$A$15:$F$17,4,FALSE)),2)+S33</x:f>
        <x:v>56000</x:v>
      </x:c>
      <x:c r="U33" s="16" t="n">
        <x:f>T33-L33</x:f>
        <x:v>43600</x:v>
      </x:c>
      <x:c r="V33" s="1" t="str">
        <x:f>IF(N33&lt;'Assumptions'!$B$8,"Margin review",IF(S33&gt;0,"Usage review",IF(P33&gt;=0.2,"Discount review","No flag")))</x:f>
        <x:v>No flag</x:v>
      </x:c>
      <x:c r="W33" s="1" t="n">
        <x:f>RANK(M33,$M$5:$M$40,1)+COUNTIF($M$5:M33,M33)-1</x:f>
        <x:v>35</x:v>
      </x:c>
    </x:row>
    <x:row r="34" ht="23" customHeight="1">
      <x:c r="A34" s="10" t="str">
        <x:v>C030</x:v>
      </x:c>
      <x:c r="B34" s="10" t="str">
        <x:v>Simulated Studio 30</x:v>
      </x:c>
      <x:c r="C34" s="10" t="str">
        <x:v>Production Houses</x:v>
      </x:c>
      <x:c r="D34" s="10" t="n">
        <x:v>3</x:v>
      </x:c>
      <x:c r="E34" s="17" t="n">
        <x:v>46265</x:v>
      </x:c>
      <x:c r="F34" s="10" t="n">
        <x:v>190</x:v>
      </x:c>
      <x:c r="G34" s="18" t="n">
        <x:v>47500</x:v>
      </x:c>
      <x:c r="H34" s="18" t="n">
        <x:v>8500</x:v>
      </x:c>
      <x:c r="I34" s="18" t="n">
        <x:v>10</x:v>
      </x:c>
      <x:c r="J34" s="18" t="n">
        <x:v>500</x:v>
      </x:c>
      <x:c r="K34" s="1" t="str">
        <x:f>VLOOKUP(D34,'Assumptions'!$A$15:$F$17,2,FALSE)</x:f>
        <x:v>Enterprise</x:v>
      </x:c>
      <x:c r="L34" s="16" t="n">
        <x:f>H34+I34*J34</x:f>
        <x:v>13500</x:v>
      </x:c>
      <x:c r="M34" s="16" t="n">
        <x:f>G34-L34</x:f>
        <x:v>34000</x:v>
      </x:c>
      <x:c r="N34" s="13" t="n">
        <x:f>M34/G34</x:f>
        <x:v>0.7157894736842105</x:v>
      </x:c>
      <x:c r="O34" s="16" t="n">
        <x:f>G34*12</x:f>
        <x:v>570000</x:v>
      </x:c>
      <x:c r="P34" s="13" t="n">
        <x:f>ROUND(1-G34/VLOOKUP(D34,'Assumptions'!$A$15:$F$17,3,FALSE),4)</x:f>
        <x:v>0.05</x:v>
      </x:c>
      <x:c r="Q34" s="16" t="n">
        <x:f>G34/F34</x:f>
        <x:v>250</x:v>
      </x:c>
      <x:c r="R34" s="13" t="n">
        <x:f>L34/G34</x:f>
        <x:v>0.28421052631578947</x:v>
      </x:c>
      <x:c r="S34" s="16" t="n">
        <x:f>MAX(F34-VLOOKUP(D34,'Assumptions'!$A$15:$F$17,5,FALSE),0)*VLOOKUP(D34,'Assumptions'!$A$15:$F$17,6,FALSE)</x:f>
        <x:v>0</x:v>
      </x:c>
      <x:c r="T34" s="16" t="n">
        <x:f>ROUND(G34*(1+VLOOKUP(D34,'Assumptions'!$A$15:$F$17,4,FALSE)),2)+S34</x:f>
        <x:v>53200</x:v>
      </x:c>
      <x:c r="U34" s="16" t="n">
        <x:f>T34-L34</x:f>
        <x:v>39700</x:v>
      </x:c>
      <x:c r="V34" s="1" t="str">
        <x:f>IF(N34&lt;'Assumptions'!$B$8,"Margin review",IF(S34&gt;0,"Usage review",IF(P34&gt;=0.2,"Discount review","No flag")))</x:f>
        <x:v>No flag</x:v>
      </x:c>
      <x:c r="W34" s="1" t="n">
        <x:f>RANK(M34,$M$5:$M$40,1)+COUNTIF($M$5:M34,M34)-1</x:f>
        <x:v>32</x:v>
      </x:c>
    </x:row>
    <x:row r="35" ht="23" customHeight="1">
      <x:c r="A35" s="10" t="str">
        <x:v>C031</x:v>
      </x:c>
      <x:c r="B35" s="10" t="str">
        <x:v>Simulated Studio 31</x:v>
      </x:c>
      <x:c r="C35" s="10" t="str">
        <x:v>Streaming Studios</x:v>
      </x:c>
      <x:c r="D35" s="10" t="n">
        <x:v>3</x:v>
      </x:c>
      <x:c r="E35" s="17" t="n">
        <x:v>46265</x:v>
      </x:c>
      <x:c r="F35" s="10" t="n">
        <x:v>200</x:v>
      </x:c>
      <x:c r="G35" s="18" t="n">
        <x:v>45000</x:v>
      </x:c>
      <x:c r="H35" s="18" t="n">
        <x:v>8600</x:v>
      </x:c>
      <x:c r="I35" s="18" t="n">
        <x:v>12</x:v>
      </x:c>
      <x:c r="J35" s="18" t="n">
        <x:v>500</x:v>
      </x:c>
      <x:c r="K35" s="1" t="str">
        <x:f>VLOOKUP(D35,'Assumptions'!$A$15:$F$17,2,FALSE)</x:f>
        <x:v>Enterprise</x:v>
      </x:c>
      <x:c r="L35" s="16" t="n">
        <x:f>H35+I35*J35</x:f>
        <x:v>14600</x:v>
      </x:c>
      <x:c r="M35" s="16" t="n">
        <x:f>G35-L35</x:f>
        <x:v>30400</x:v>
      </x:c>
      <x:c r="N35" s="13" t="n">
        <x:f>M35/G35</x:f>
        <x:v>0.6755555555555556</x:v>
      </x:c>
      <x:c r="O35" s="16" t="n">
        <x:f>G35*12</x:f>
        <x:v>540000</x:v>
      </x:c>
      <x:c r="P35" s="13" t="n">
        <x:f>ROUND(1-G35/VLOOKUP(D35,'Assumptions'!$A$15:$F$17,3,FALSE),4)</x:f>
        <x:v>0.1</x:v>
      </x:c>
      <x:c r="Q35" s="16" t="n">
        <x:f>G35/F35</x:f>
        <x:v>225</x:v>
      </x:c>
      <x:c r="R35" s="13" t="n">
        <x:f>L35/G35</x:f>
        <x:v>0.3244444444444444</x:v>
      </x:c>
      <x:c r="S35" s="16" t="n">
        <x:f>MAX(F35-VLOOKUP(D35,'Assumptions'!$A$15:$F$17,5,FALSE),0)*VLOOKUP(D35,'Assumptions'!$A$15:$F$17,6,FALSE)</x:f>
        <x:v>0</x:v>
      </x:c>
      <x:c r="T35" s="16" t="n">
        <x:f>ROUND(G35*(1+VLOOKUP(D35,'Assumptions'!$A$15:$F$17,4,FALSE)),2)+S35</x:f>
        <x:v>50400</x:v>
      </x:c>
      <x:c r="U35" s="16" t="n">
        <x:f>T35-L35</x:f>
        <x:v>35800</x:v>
      </x:c>
      <x:c r="V35" s="1" t="str">
        <x:f>IF(N35&lt;'Assumptions'!$B$8,"Margin review",IF(S35&gt;0,"Usage review",IF(P35&gt;=0.2,"Discount review","No flag")))</x:f>
        <x:v>No flag</x:v>
      </x:c>
      <x:c r="W35" s="1" t="n">
        <x:f>RANK(M35,$M$5:$M$40,1)+COUNTIF($M$5:M35,M35)-1</x:f>
        <x:v>29</x:v>
      </x:c>
    </x:row>
    <x:row r="36" ht="23" customHeight="1">
      <x:c r="A36" s="10" t="str">
        <x:v>C032</x:v>
      </x:c>
      <x:c r="B36" s="10" t="str">
        <x:v>Simulated Studio 32</x:v>
      </x:c>
      <x:c r="C36" s="10" t="str">
        <x:v>Streaming Studios</x:v>
      </x:c>
      <x:c r="D36" s="10" t="n">
        <x:v>3</x:v>
      </x:c>
      <x:c r="E36" s="17" t="n">
        <x:v>46265</x:v>
      </x:c>
      <x:c r="F36" s="10" t="n">
        <x:v>210</x:v>
      </x:c>
      <x:c r="G36" s="18" t="n">
        <x:v>40000</x:v>
      </x:c>
      <x:c r="H36" s="18" t="n">
        <x:v>8700</x:v>
      </x:c>
      <x:c r="I36" s="18" t="n">
        <x:v>14</x:v>
      </x:c>
      <x:c r="J36" s="18" t="n">
        <x:v>500</x:v>
      </x:c>
      <x:c r="K36" s="1" t="str">
        <x:f>VLOOKUP(D36,'Assumptions'!$A$15:$F$17,2,FALSE)</x:f>
        <x:v>Enterprise</x:v>
      </x:c>
      <x:c r="L36" s="16" t="n">
        <x:f>H36+I36*J36</x:f>
        <x:v>15700</x:v>
      </x:c>
      <x:c r="M36" s="16" t="n">
        <x:f>G36-L36</x:f>
        <x:v>24300</x:v>
      </x:c>
      <x:c r="N36" s="13" t="n">
        <x:f>M36/G36</x:f>
        <x:v>0.6075</x:v>
      </x:c>
      <x:c r="O36" s="16" t="n">
        <x:f>G36*12</x:f>
        <x:v>480000</x:v>
      </x:c>
      <x:c r="P36" s="13" t="n">
        <x:f>ROUND(1-G36/VLOOKUP(D36,'Assumptions'!$A$15:$F$17,3,FALSE),4)</x:f>
        <x:v>0.2</x:v>
      </x:c>
      <x:c r="Q36" s="16" t="n">
        <x:f>G36/F36</x:f>
        <x:v>190.47619047619048</x:v>
      </x:c>
      <x:c r="R36" s="13" t="n">
        <x:f>L36/G36</x:f>
        <x:v>0.3925</x:v>
      </x:c>
      <x:c r="S36" s="16" t="n">
        <x:f>MAX(F36-VLOOKUP(D36,'Assumptions'!$A$15:$F$17,5,FALSE),0)*VLOOKUP(D36,'Assumptions'!$A$15:$F$17,6,FALSE)</x:f>
        <x:v>0</x:v>
      </x:c>
      <x:c r="T36" s="16" t="n">
        <x:f>ROUND(G36*(1+VLOOKUP(D36,'Assumptions'!$A$15:$F$17,4,FALSE)),2)+S36</x:f>
        <x:v>44800</x:v>
      </x:c>
      <x:c r="U36" s="16" t="n">
        <x:f>T36-L36</x:f>
        <x:v>29100</x:v>
      </x:c>
      <x:c r="V36" s="1" t="str">
        <x:f>IF(N36&lt;'Assumptions'!$B$8,"Margin review",IF(S36&gt;0,"Usage review",IF(P36&gt;=0.2,"Discount review","No flag")))</x:f>
        <x:v>Discount review</x:v>
      </x:c>
      <x:c r="W36" s="1" t="n">
        <x:f>RANK(M36,$M$5:$M$40,1)+COUNTIF($M$5:M36,M36)-1</x:f>
        <x:v>26</x:v>
      </x:c>
    </x:row>
    <x:row r="37" ht="23" customHeight="1">
      <x:c r="A37" s="10" t="str">
        <x:v>C033</x:v>
      </x:c>
      <x:c r="B37" s="10" t="str">
        <x:v>Simulated Studio 33</x:v>
      </x:c>
      <x:c r="C37" s="10" t="str">
        <x:v>Streaming Studios</x:v>
      </x:c>
      <x:c r="D37" s="10" t="n">
        <x:v>3</x:v>
      </x:c>
      <x:c r="E37" s="17" t="n">
        <x:v>46265</x:v>
      </x:c>
      <x:c r="F37" s="10" t="n">
        <x:v>230</x:v>
      </x:c>
      <x:c r="G37" s="18" t="n">
        <x:v>50000</x:v>
      </x:c>
      <x:c r="H37" s="18" t="n">
        <x:v>8800</x:v>
      </x:c>
      <x:c r="I37" s="18" t="n">
        <x:v>8</x:v>
      </x:c>
      <x:c r="J37" s="18" t="n">
        <x:v>500</x:v>
      </x:c>
      <x:c r="K37" s="1" t="str">
        <x:f>VLOOKUP(D37,'Assumptions'!$A$15:$F$17,2,FALSE)</x:f>
        <x:v>Enterprise</x:v>
      </x:c>
      <x:c r="L37" s="16" t="n">
        <x:f>H37+I37*J37</x:f>
        <x:v>12800</x:v>
      </x:c>
      <x:c r="M37" s="16" t="n">
        <x:f>G37-L37</x:f>
        <x:v>37200</x:v>
      </x:c>
      <x:c r="N37" s="13" t="n">
        <x:f>M37/G37</x:f>
        <x:v>0.744</x:v>
      </x:c>
      <x:c r="O37" s="16" t="n">
        <x:f>G37*12</x:f>
        <x:v>600000</x:v>
      </x:c>
      <x:c r="P37" s="13" t="n">
        <x:f>ROUND(1-G37/VLOOKUP(D37,'Assumptions'!$A$15:$F$17,3,FALSE),4)</x:f>
        <x:v>0</x:v>
      </x:c>
      <x:c r="Q37" s="16" t="n">
        <x:f>G37/F37</x:f>
        <x:v>217.3913043478261</x:v>
      </x:c>
      <x:c r="R37" s="13" t="n">
        <x:f>L37/G37</x:f>
        <x:v>0.256</x:v>
      </x:c>
      <x:c r="S37" s="16" t="n">
        <x:f>MAX(F37-VLOOKUP(D37,'Assumptions'!$A$15:$F$17,5,FALSE),0)*VLOOKUP(D37,'Assumptions'!$A$15:$F$17,6,FALSE)</x:f>
        <x:v>0</x:v>
      </x:c>
      <x:c r="T37" s="16" t="n">
        <x:f>ROUND(G37*(1+VLOOKUP(D37,'Assumptions'!$A$15:$F$17,4,FALSE)),2)+S37</x:f>
        <x:v>56000</x:v>
      </x:c>
      <x:c r="U37" s="16" t="n">
        <x:f>T37-L37</x:f>
        <x:v>43200</x:v>
      </x:c>
      <x:c r="V37" s="1" t="str">
        <x:f>IF(N37&lt;'Assumptions'!$B$8,"Margin review",IF(S37&gt;0,"Usage review",IF(P37&gt;=0.2,"Discount review","No flag")))</x:f>
        <x:v>No flag</x:v>
      </x:c>
      <x:c r="W37" s="1" t="n">
        <x:f>RANK(M37,$M$5:$M$40,1)+COUNTIF($M$5:M37,M37)-1</x:f>
        <x:v>34</x:v>
      </x:c>
    </x:row>
    <x:row r="38" ht="23" customHeight="1">
      <x:c r="A38" s="10" t="str">
        <x:v>C034</x:v>
      </x:c>
      <x:c r="B38" s="10" t="str">
        <x:v>Simulated Studio 34</x:v>
      </x:c>
      <x:c r="C38" s="10" t="str">
        <x:v>Streaming Studios</x:v>
      </x:c>
      <x:c r="D38" s="10" t="n">
        <x:v>3</x:v>
      </x:c>
      <x:c r="E38" s="17" t="n">
        <x:v>46265</x:v>
      </x:c>
      <x:c r="F38" s="10" t="n">
        <x:v>250</x:v>
      </x:c>
      <x:c r="G38" s="18" t="n">
        <x:v>47500</x:v>
      </x:c>
      <x:c r="H38" s="18" t="n">
        <x:v>8900</x:v>
      </x:c>
      <x:c r="I38" s="18" t="n">
        <x:v>10</x:v>
      </x:c>
      <x:c r="J38" s="18" t="n">
        <x:v>500</x:v>
      </x:c>
      <x:c r="K38" s="1" t="str">
        <x:f>VLOOKUP(D38,'Assumptions'!$A$15:$F$17,2,FALSE)</x:f>
        <x:v>Enterprise</x:v>
      </x:c>
      <x:c r="L38" s="16" t="n">
        <x:f>H38+I38*J38</x:f>
        <x:v>13900</x:v>
      </x:c>
      <x:c r="M38" s="16" t="n">
        <x:f>G38-L38</x:f>
        <x:v>33600</x:v>
      </x:c>
      <x:c r="N38" s="13" t="n">
        <x:f>M38/G38</x:f>
        <x:v>0.7073684210526315</x:v>
      </x:c>
      <x:c r="O38" s="16" t="n">
        <x:f>G38*12</x:f>
        <x:v>570000</x:v>
      </x:c>
      <x:c r="P38" s="13" t="n">
        <x:f>ROUND(1-G38/VLOOKUP(D38,'Assumptions'!$A$15:$F$17,3,FALSE),4)</x:f>
        <x:v>0.05</x:v>
      </x:c>
      <x:c r="Q38" s="16" t="n">
        <x:f>G38/F38</x:f>
        <x:v>190</x:v>
      </x:c>
      <x:c r="R38" s="13" t="n">
        <x:f>L38/G38</x:f>
        <x:v>0.2926315789473684</x:v>
      </x:c>
      <x:c r="S38" s="16" t="n">
        <x:f>MAX(F38-VLOOKUP(D38,'Assumptions'!$A$15:$F$17,5,FALSE),0)*VLOOKUP(D38,'Assumptions'!$A$15:$F$17,6,FALSE)</x:f>
        <x:v>0</x:v>
      </x:c>
      <x:c r="T38" s="16" t="n">
        <x:f>ROUND(G38*(1+VLOOKUP(D38,'Assumptions'!$A$15:$F$17,4,FALSE)),2)+S38</x:f>
        <x:v>53200</x:v>
      </x:c>
      <x:c r="U38" s="16" t="n">
        <x:f>T38-L38</x:f>
        <x:v>39300</x:v>
      </x:c>
      <x:c r="V38" s="1" t="str">
        <x:f>IF(N38&lt;'Assumptions'!$B$8,"Margin review",IF(S38&gt;0,"Usage review",IF(P38&gt;=0.2,"Discount review","No flag")))</x:f>
        <x:v>No flag</x:v>
      </x:c>
      <x:c r="W38" s="1" t="n">
        <x:f>RANK(M38,$M$5:$M$40,1)+COUNTIF($M$5:M38,M38)-1</x:f>
        <x:v>31</x:v>
      </x:c>
    </x:row>
    <x:row r="39" ht="23" customHeight="1">
      <x:c r="A39" s="10" t="str">
        <x:v>C035</x:v>
      </x:c>
      <x:c r="B39" s="10" t="str">
        <x:v>Simulated Studio 35</x:v>
      </x:c>
      <x:c r="C39" s="10" t="str">
        <x:v>Streaming Studios</x:v>
      </x:c>
      <x:c r="D39" s="10" t="n">
        <x:v>3</x:v>
      </x:c>
      <x:c r="E39" s="17" t="n">
        <x:v>46265</x:v>
      </x:c>
      <x:c r="F39" s="10" t="n">
        <x:v>270</x:v>
      </x:c>
      <x:c r="G39" s="18" t="n">
        <x:v>45000</x:v>
      </x:c>
      <x:c r="H39" s="18" t="n">
        <x:v>9000</x:v>
      </x:c>
      <x:c r="I39" s="18" t="n">
        <x:v>12</x:v>
      </x:c>
      <x:c r="J39" s="18" t="n">
        <x:v>500</x:v>
      </x:c>
      <x:c r="K39" s="1" t="str">
        <x:f>VLOOKUP(D39,'Assumptions'!$A$15:$F$17,2,FALSE)</x:f>
        <x:v>Enterprise</x:v>
      </x:c>
      <x:c r="L39" s="16" t="n">
        <x:f>H39+I39*J39</x:f>
        <x:v>15000</x:v>
      </x:c>
      <x:c r="M39" s="16" t="n">
        <x:f>G39-L39</x:f>
        <x:v>30000</x:v>
      </x:c>
      <x:c r="N39" s="13" t="n">
        <x:f>M39/G39</x:f>
        <x:v>0.6666666666666666</x:v>
      </x:c>
      <x:c r="O39" s="16" t="n">
        <x:f>G39*12</x:f>
        <x:v>540000</x:v>
      </x:c>
      <x:c r="P39" s="13" t="n">
        <x:f>ROUND(1-G39/VLOOKUP(D39,'Assumptions'!$A$15:$F$17,3,FALSE),4)</x:f>
        <x:v>0.1</x:v>
      </x:c>
      <x:c r="Q39" s="16" t="n">
        <x:f>G39/F39</x:f>
        <x:v>166.66666666666666</x:v>
      </x:c>
      <x:c r="R39" s="13" t="n">
        <x:f>L39/G39</x:f>
        <x:v>0.3333333333333333</x:v>
      </x:c>
      <x:c r="S39" s="16" t="n">
        <x:f>MAX(F39-VLOOKUP(D39,'Assumptions'!$A$15:$F$17,5,FALSE),0)*VLOOKUP(D39,'Assumptions'!$A$15:$F$17,6,FALSE)</x:f>
        <x:v>2000</x:v>
      </x:c>
      <x:c r="T39" s="16" t="n">
        <x:f>ROUND(G39*(1+VLOOKUP(D39,'Assumptions'!$A$15:$F$17,4,FALSE)),2)+S39</x:f>
        <x:v>52400</x:v>
      </x:c>
      <x:c r="U39" s="16" t="n">
        <x:f>T39-L39</x:f>
        <x:v>37400</x:v>
      </x:c>
      <x:c r="V39" s="1" t="str">
        <x:f>IF(N39&lt;'Assumptions'!$B$8,"Margin review",IF(S39&gt;0,"Usage review",IF(P39&gt;=0.2,"Discount review","No flag")))</x:f>
        <x:v>Usage review</x:v>
      </x:c>
      <x:c r="W39" s="1" t="n">
        <x:f>RANK(M39,$M$5:$M$40,1)+COUNTIF($M$5:M39,M39)-1</x:f>
        <x:v>28</x:v>
      </x:c>
    </x:row>
    <x:row r="40" ht="23" customHeight="1">
      <x:c r="A40" s="10" t="str">
        <x:v>C036</x:v>
      </x:c>
      <x:c r="B40" s="10" t="str">
        <x:v>Simulated Studio 36</x:v>
      </x:c>
      <x:c r="C40" s="10" t="str">
        <x:v>Streaming Studios</x:v>
      </x:c>
      <x:c r="D40" s="10" t="n">
        <x:v>3</x:v>
      </x:c>
      <x:c r="E40" s="17" t="n">
        <x:v>46265</x:v>
      </x:c>
      <x:c r="F40" s="10" t="n">
        <x:v>300</x:v>
      </x:c>
      <x:c r="G40" s="18" t="n">
        <x:v>40000</x:v>
      </x:c>
      <x:c r="H40" s="18" t="n">
        <x:v>9100</x:v>
      </x:c>
      <x:c r="I40" s="18" t="n">
        <x:v>42</x:v>
      </x:c>
      <x:c r="J40" s="18" t="n">
        <x:v>500</x:v>
      </x:c>
      <x:c r="K40" s="1" t="str">
        <x:f>VLOOKUP(D40,'Assumptions'!$A$15:$F$17,2,FALSE)</x:f>
        <x:v>Enterprise</x:v>
      </x:c>
      <x:c r="L40" s="16" t="n">
        <x:f>H40+I40*J40</x:f>
        <x:v>30100</x:v>
      </x:c>
      <x:c r="M40" s="16" t="n">
        <x:f>G40-L40</x:f>
        <x:v>9900</x:v>
      </x:c>
      <x:c r="N40" s="13" t="n">
        <x:f>M40/G40</x:f>
        <x:v>0.2475</x:v>
      </x:c>
      <x:c r="O40" s="16" t="n">
        <x:f>G40*12</x:f>
        <x:v>480000</x:v>
      </x:c>
      <x:c r="P40" s="13" t="n">
        <x:f>ROUND(1-G40/VLOOKUP(D40,'Assumptions'!$A$15:$F$17,3,FALSE),4)</x:f>
        <x:v>0.2</x:v>
      </x:c>
      <x:c r="Q40" s="16" t="n">
        <x:f>G40/F40</x:f>
        <x:v>133.33333333333334</x:v>
      </x:c>
      <x:c r="R40" s="13" t="n">
        <x:f>L40/G40</x:f>
        <x:v>0.7525</x:v>
      </x:c>
      <x:c r="S40" s="16" t="n">
        <x:f>MAX(F40-VLOOKUP(D40,'Assumptions'!$A$15:$F$17,5,FALSE),0)*VLOOKUP(D40,'Assumptions'!$A$15:$F$17,6,FALSE)</x:f>
        <x:v>5000</x:v>
      </x:c>
      <x:c r="T40" s="16" t="n">
        <x:f>ROUND(G40*(1+VLOOKUP(D40,'Assumptions'!$A$15:$F$17,4,FALSE)),2)+S40</x:f>
        <x:v>49800</x:v>
      </x:c>
      <x:c r="U40" s="16" t="n">
        <x:f>T40-L40</x:f>
        <x:v>19700</x:v>
      </x:c>
      <x:c r="V40" s="1" t="str">
        <x:f>IF(N40&lt;'Assumptions'!$B$8,"Margin review",IF(S40&gt;0,"Usage review",IF(P40&gt;=0.2,"Discount review","No flag")))</x:f>
        <x:v>Margin review</x:v>
      </x:c>
      <x:c r="W40" s="1" t="n">
        <x:f>RANK(M40,$M$5:$M$40,1)+COUNTIF($M$5:M40,M40)-1</x:f>
        <x:v>14</x:v>
      </x:c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</x:sheetData>
  <x:mergeCells>
    <x:mergeCell ref="A1:J1"/>
    <x:mergeCell ref="A2:J2"/>
  </x:mergeCells>
  <x:conditionalFormatting sqref="M5:M40">
    <x:cfRule type="cellIs" dxfId="0" priority="1" operator="lessThan">
      <x:formula>0</x:formula>
    </x:cfRule>
  </x:conditionalFormatting>
  <x:dataValidations count="1">
    <x:dataValidation type="list" sqref="D5:D40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5b491676f40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32" customHeight="1">
      <x:c r="A1" s="2" t="str">
        <x:v>Assumptions and pricing rules</x:v>
      </x:c>
      <x:c r="B1" s="2"/>
      <x:c r="C1" s="2"/>
      <x:c r="D1" s="2"/>
      <x:c r="E1" s="2"/>
      <x:c r="F1" s="2"/>
      <x:c r="G1" s="2"/>
      <x:c r="H1" s="2"/>
    </x:row>
    <x:row r="2" ht="23" customHeight="1">
      <x:c r="A2" s="5" t="str">
        <x:v>Synthetic case. Blue cells are editable inputs; no actual market evidence is implied.</x:v>
      </x:c>
      <x:c r="B2" s="5"/>
      <x:c r="C2" s="5"/>
      <x:c r="D2" s="5"/>
      <x:c r="E2" s="5"/>
      <x:c r="F2" s="5"/>
      <x:c r="G2" s="5"/>
      <x:c r="H2" s="5"/>
    </x:row>
    <x:row r="3" ht="23" customHeight="1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9" t="str">
        <x:v>Company assumption</x:v>
      </x:c>
      <x:c r="B4" s="9" t="str">
        <x:v>Value</x:v>
      </x:c>
      <x:c r="C4" s="9" t="str">
        <x:v>Unit / source</x:v>
      </x:c>
      <x:c r="D4" s="1"/>
      <x:c r="E4" s="1"/>
      <x:c r="F4" s="1"/>
      <x:c r="G4" s="1"/>
      <x:c r="H4" s="1"/>
    </x:row>
    <x:row r="5" ht="23" customHeight="1">
      <x:c r="A5" s="1" t="str">
        <x:v>Initial investment</x:v>
      </x:c>
      <x:c r="B5" s="11" t="n">
        <x:v>25000000</x:v>
      </x:c>
      <x:c r="C5" s="1" t="str">
        <x:v>INR; user case: ₹2.5 crore</x:v>
      </x:c>
      <x:c r="D5" s="1"/>
      <x:c r="E5" s="1"/>
      <x:c r="F5" s="1"/>
      <x:c r="G5" s="1"/>
      <x:c r="H5" s="1"/>
    </x:row>
    <x:row r="6" ht="23" customHeight="1">
      <x:c r="A6" s="1" t="str">
        <x:v>Monthly fixed overhead</x:v>
      </x:c>
      <x:c r="B6" s="11" t="n">
        <x:v>500000</x:v>
      </x:c>
      <x:c r="C6" s="1" t="str">
        <x:v>INR/month; simulated, excludes direct costs</x:v>
      </x:c>
      <x:c r="D6" s="1"/>
      <x:c r="E6" s="1"/>
      <x:c r="F6" s="1"/>
      <x:c r="G6" s="1"/>
      <x:c r="H6" s="1"/>
    </x:row>
    <x:row r="7" ht="23" customHeight="1">
      <x:c r="A7" s="1" t="str">
        <x:v>Recovery benchmark</x:v>
      </x:c>
      <x:c r="B7" s="10" t="n">
        <x:v>60</x:v>
      </x:c>
      <x:c r="C7" s="1" t="str">
        <x:v>Months; illustrative planning benchmark</x:v>
      </x:c>
      <x:c r="D7" s="1"/>
      <x:c r="E7" s="1"/>
      <x:c r="F7" s="1"/>
      <x:c r="G7" s="1"/>
      <x:c r="H7" s="1"/>
    </x:row>
    <x:row r="8" ht="23" customHeight="1">
      <x:c r="A8" s="1" t="str">
        <x:v>Margin review threshold</x:v>
      </x:c>
      <x:c r="B8" s="12" t="n">
        <x:v>0.5</x:v>
      </x:c>
      <x:c r="C8" s="1" t="str">
        <x:v>Ratio; management screening assumption</x:v>
      </x:c>
      <x:c r="D8" s="1"/>
      <x:c r="E8" s="1"/>
      <x:c r="F8" s="1"/>
      <x:c r="G8" s="1"/>
      <x:c r="H8" s="1"/>
    </x:row>
    <x:row r="9" ht="23" customHeight="1">
      <x:c r="A9" s="1" t="str">
        <x:v>Overhead stress</x:v>
      </x:c>
      <x:c r="B9" s="12" t="n">
        <x:v>0.1</x:v>
      </x:c>
      <x:c r="C9" s="1" t="str">
        <x:v>Ratio; sensitivity assumption</x:v>
      </x:c>
      <x:c r="D9" s="1"/>
      <x:c r="E9" s="1"/>
      <x:c r="F9" s="1"/>
      <x:c r="G9" s="1"/>
      <x:c r="H9" s="1"/>
    </x:row>
    <x:row r="10" ht="23" customHeight="1">
      <x:c r="A10" s="1" t="str">
        <x:v>INR per lakh</x:v>
      </x:c>
      <x:c r="B10" s="1" t="n">
        <x:v>100000</x:v>
      </x:c>
      <x:c r="C10" s="1" t="str">
        <x:v>Unit conversion</x:v>
      </x:c>
      <x:c r="D10" s="1"/>
      <x:c r="E10" s="1"/>
      <x:c r="F10" s="1"/>
      <x:c r="G10" s="1"/>
      <x:c r="H10" s="1"/>
    </x:row>
    <x:row r="11" ht="23" customHeight="1">
      <x:c r="A11" s="1" t="str">
        <x:v>INR per crore</x:v>
      </x:c>
      <x:c r="B11" s="1" t="n">
        <x:v>10000000</x:v>
      </x:c>
      <x:c r="C11" s="1" t="str">
        <x:v>Unit conversion</x:v>
      </x:c>
      <x:c r="D11" s="1"/>
      <x:c r="E11" s="1"/>
      <x:c r="F11" s="1"/>
      <x:c r="G11" s="1"/>
      <x:c r="H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</x:row>
    <x:row r="14" ht="38" customHeight="1">
      <x:c r="A14" s="9" t="str">
        <x:v>Tier ID</x:v>
      </x:c>
      <x:c r="B14" s="9" t="str">
        <x:v>Tier</x:v>
      </x:c>
      <x:c r="C14" s="9" t="str">
        <x:v>Current list INR/mo</x:v>
      </x:c>
      <x:c r="D14" s="9" t="str">
        <x:v>Base increase</x:v>
      </x:c>
      <x:c r="E14" s="9" t="str">
        <x:v>Included runs/mo</x:v>
      </x:c>
      <x:c r="F14" s="9" t="str">
        <x:v>Overage INR/run</x:v>
      </x:c>
      <x:c r="G14" s="1"/>
      <x:c r="H14" s="1"/>
    </x:row>
    <x:row r="15" ht="23" customHeight="1">
      <x:c r="A15" s="1" t="n">
        <x:v>1</x:v>
      </x:c>
      <x:c r="B15" s="1" t="str">
        <x:v>Core</x:v>
      </x:c>
      <x:c r="C15" s="10" t="n">
        <x:v>12000</x:v>
      </x:c>
      <x:c r="D15" s="12" t="n">
        <x:v>0.08</x:v>
      </x:c>
      <x:c r="E15" s="10" t="n">
        <x:v>25</x:v>
      </x:c>
      <x:c r="F15" s="10" t="n">
        <x:v>200</x:v>
      </x:c>
      <x:c r="G15" s="1"/>
      <x:c r="H15" s="1"/>
    </x:row>
    <x:row r="16" ht="23" customHeight="1">
      <x:c r="A16" s="1" t="n">
        <x:v>2</x:v>
      </x:c>
      <x:c r="B16" s="1" t="str">
        <x:v>Growth</x:v>
      </x:c>
      <x:c r="C16" s="10" t="n">
        <x:v>25000</x:v>
      </x:c>
      <x:c r="D16" s="12" t="n">
        <x:v>0.1</x:v>
      </x:c>
      <x:c r="E16" s="10" t="n">
        <x:v>80</x:v>
      </x:c>
      <x:c r="F16" s="10" t="n">
        <x:v>150</x:v>
      </x:c>
      <x:c r="G16" s="1"/>
      <x:c r="H16" s="1"/>
    </x:row>
    <x:row r="17" ht="23" customHeight="1">
      <x:c r="A17" s="1" t="n">
        <x:v>3</x:v>
      </x:c>
      <x:c r="B17" s="1" t="str">
        <x:v>Enterprise</x:v>
      </x:c>
      <x:c r="C17" s="10" t="n">
        <x:v>50000</x:v>
      </x:c>
      <x:c r="D17" s="12" t="n">
        <x:v>0.12</x:v>
      </x:c>
      <x:c r="E17" s="10" t="n">
        <x:v>250</x:v>
      </x:c>
      <x:c r="F17" s="10" t="n">
        <x:v>100</x:v>
      </x:c>
      <x:c r="G17" s="1"/>
      <x:c r="H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</x:row>
    <x:row r="21" ht="38" customHeight="1">
      <x:c r="A21" s="9" t="str">
        <x:v>Scenario ID</x:v>
      </x:c>
      <x:c r="B21" s="9" t="str">
        <x:v>Scenario</x:v>
      </x:c>
      <x:c r="C21" s="9" t="str">
        <x:v>Adoption</x:v>
      </x:c>
      <x:c r="D21" s="9" t="str">
        <x:v>Retention</x:v>
      </x:c>
      <x:c r="E21" s="1"/>
      <x:c r="F21" s="1"/>
      <x:c r="G21" s="1"/>
      <x:c r="H21" s="1"/>
    </x:row>
    <x:row r="22" ht="23" customHeight="1">
      <x:c r="A22" s="1" t="n">
        <x:v>1</x:v>
      </x:c>
      <x:c r="B22" s="1" t="str">
        <x:v>Current</x:v>
      </x:c>
      <x:c r="C22" s="12" t="n">
        <x:v>0</x:v>
      </x:c>
      <x:c r="D22" s="12" t="n">
        <x:v>1</x:v>
      </x:c>
      <x:c r="E22" s="1"/>
      <x:c r="F22" s="1"/>
      <x:c r="G22" s="1"/>
      <x:c r="H22" s="1"/>
    </x:row>
    <x:row r="23" ht="23" customHeight="1">
      <x:c r="A23" s="1" t="n">
        <x:v>2</x:v>
      </x:c>
      <x:c r="B23" s="1" t="str">
        <x:v>Conservative</x:v>
      </x:c>
      <x:c r="C23" s="12" t="n">
        <x:v>0.5</x:v>
      </x:c>
      <x:c r="D23" s="12" t="n">
        <x:v>0.98</x:v>
      </x:c>
      <x:c r="E23" s="1"/>
      <x:c r="F23" s="1"/>
      <x:c r="G23" s="1"/>
      <x:c r="H23" s="1"/>
    </x:row>
    <x:row r="24" ht="23" customHeight="1">
      <x:c r="A24" s="1" t="n">
        <x:v>3</x:v>
      </x:c>
      <x:c r="B24" s="1" t="str">
        <x:v>Base</x:v>
      </x:c>
      <x:c r="C24" s="12" t="n">
        <x:v>1</x:v>
      </x:c>
      <x:c r="D24" s="12" t="n">
        <x:v>0.95</x:v>
      </x:c>
      <x:c r="E24" s="1"/>
      <x:c r="F24" s="1"/>
      <x:c r="G24" s="1"/>
      <x:c r="H24" s="1"/>
    </x:row>
    <x:row r="25" ht="23" customHeight="1">
      <x:c r="A25" s="1" t="n">
        <x:v>4</x:v>
      </x:c>
      <x:c r="B25" s="1" t="str">
        <x:v>Upside</x:v>
      </x:c>
      <x:c r="C25" s="12" t="n">
        <x:v>1</x:v>
      </x:c>
      <x:c r="D25" s="12" t="n">
        <x:v>1</x:v>
      </x:c>
      <x:c r="E25" s="1"/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5" t="str">
        <x:v>Data source: the four data/raw CSVs, simulated for this portfolio; snapshot 31 Aug 2026.</x:v>
      </x:c>
      <x:c r="B28" s="5"/>
      <x:c r="C28" s="5"/>
      <x:c r="D28" s="5"/>
      <x:c r="E28" s="5"/>
      <x:c r="F28" s="5"/>
      <x:c r="G28" s="5"/>
      <x:c r="H28" s="5"/>
    </x:row>
    <x:row r="29" ht="23" customHeight="1">
      <x:c r="A29" s="5"/>
      <x:c r="B29" s="5"/>
      <x:c r="C29" s="5"/>
      <x:c r="D29" s="5"/>
      <x:c r="E29" s="5"/>
      <x:c r="F29" s="5"/>
      <x:c r="G29" s="5"/>
      <x:c r="H29" s="5"/>
    </x:row>
    <x:row r="30" ht="23" customHeight="1">
      <x:c r="A30" s="5" t="str">
        <x:v>Gross profit = revenue − hosting − attributable support. Company total cost also includes fixed overhead.</x:v>
      </x:c>
      <x:c r="B30" s="5"/>
      <x:c r="C30" s="5"/>
      <x:c r="D30" s="5"/>
      <x:c r="E30" s="5"/>
      <x:c r="F30" s="5"/>
      <x:c r="G30" s="5"/>
      <x:c r="H30" s="5"/>
    </x:row>
    <x:row r="31" ht="23" customHeight="1">
      <x:c r="A31" s="5"/>
      <x:c r="B31" s="5"/>
      <x:c r="C31" s="5"/>
      <x:c r="D31" s="5"/>
      <x:c r="E31" s="5"/>
      <x:c r="F31" s="5"/>
      <x:c r="G31" s="5"/>
      <x:c r="H31" s="5"/>
    </x:row>
    <x:row r="32" ht="23" customHeight="1">
      <x:c r="A32" s="5" t="str">
        <x:v>Current contract discounts persist on the proposed base. Overage applies only above the new allowance.</x:v>
      </x:c>
      <x:c r="B32" s="5"/>
      <x:c r="C32" s="5"/>
      <x:c r="D32" s="5"/>
      <x:c r="E32" s="5"/>
      <x:c r="F32" s="5"/>
      <x:c r="G32" s="5"/>
      <x:c r="H32" s="5"/>
    </x:row>
    <x:row r="33" ht="23" customHeight="1">
      <x:c r="A33" s="5"/>
      <x:c r="B33" s="5"/>
      <x:c r="C33" s="5"/>
      <x:c r="D33" s="5"/>
      <x:c r="E33" s="5"/>
      <x:c r="F33" s="5"/>
      <x:c r="G33" s="5"/>
      <x:c r="H33" s="5"/>
    </x:row>
    <x:row r="34" ht="23" customHeight="1">
      <x:c r="A34" s="5" t="str">
        <x:v>Retention is a one-time proportional haircut; adoption is the share repriced among retained customers.</x:v>
      </x:c>
      <x:c r="B34" s="5"/>
      <x:c r="C34" s="5"/>
      <x:c r="D34" s="5"/>
      <x:c r="E34" s="5"/>
      <x:c r="F34" s="5"/>
      <x:c r="G34" s="5"/>
      <x:c r="H34" s="5"/>
    </x:row>
    <x:row r="35" ht="23" customHeight="1">
      <x:c r="A35" s="5"/>
      <x:c r="B35" s="5"/>
      <x:c r="C35" s="5"/>
      <x:c r="D35" s="5"/>
      <x:c r="E35" s="5"/>
      <x:c r="F35" s="5"/>
      <x:c r="G35" s="5"/>
      <x:c r="H35" s="5"/>
    </x:row>
    <x:row r="36" ht="23" customHeight="1">
      <x:c r="A36" s="5" t="str">
        <x:v>Payback uses steady-state operating surplus as a cash proxy. No growth, tax, discounting or new capital expenditure.</x:v>
      </x:c>
      <x:c r="B36" s="5"/>
      <x:c r="C36" s="5"/>
      <x:c r="D36" s="5"/>
      <x:c r="E36" s="5"/>
      <x:c r="F36" s="5"/>
      <x:c r="G36" s="5"/>
      <x:c r="H36" s="5"/>
    </x:row>
    <x:row r="37" ht="23" customHeight="1">
      <x:c r="A37" s="5"/>
      <x:c r="B37" s="5"/>
      <x:c r="C37" s="5"/>
      <x:c r="D37" s="5"/>
      <x:c r="E37" s="5"/>
      <x:c r="F37" s="5"/>
      <x:c r="G37" s="5"/>
      <x:c r="H37" s="5"/>
    </x:row>
    <x:row r="38" ht="23" customHeight="1">
      <x:c r="A38" s="5" t="str">
        <x:v>Support is assumed avoidable; Pricing includes a sensitivity where support costs remain fixed after customer loss.</x:v>
      </x:c>
      <x:c r="B38" s="5"/>
      <x:c r="C38" s="5"/>
      <x:c r="D38" s="5"/>
      <x:c r="E38" s="5"/>
      <x:c r="F38" s="5"/>
      <x:c r="G38" s="5"/>
      <x:c r="H38" s="5"/>
    </x:row>
    <x:row r="39" ht="23" customHeight="1">
      <x:c r="A39" s="5"/>
      <x:c r="B39" s="5"/>
      <x:c r="C39" s="5"/>
      <x:c r="D39" s="5"/>
      <x:c r="E39" s="5"/>
      <x:c r="F39" s="5"/>
      <x:c r="G39" s="5"/>
      <x:c r="H39" s="5"/>
    </x:row>
    <x:row r="40" ht="23" customHeight="1">
      <x:c r="A40" s="5" t="str">
        <x:v>No live database connection. Changing inputs here recalculates Excel, not the SQL database or reference CSVs.</x:v>
      </x:c>
      <x:c r="B40" s="5"/>
      <x:c r="C40" s="5"/>
      <x:c r="D40" s="5"/>
      <x:c r="E40" s="5"/>
      <x:c r="F40" s="5"/>
      <x:c r="G40" s="5"/>
      <x:c r="H40" s="5"/>
    </x:row>
    <x:row r="41" ht="23" customHeight="1">
      <x:c r="A41" s="5"/>
      <x:c r="B41" s="5"/>
      <x:c r="C41" s="5"/>
      <x:c r="D41" s="5"/>
      <x:c r="E41" s="5"/>
      <x:c r="F41" s="5"/>
      <x:c r="G41" s="5"/>
      <x:c r="H41" s="5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</x:sheetData>
  <x:mergeCells>
    <x:mergeCell ref="A1:H1"/>
    <x:mergeCell ref="A2:H2"/>
    <x:mergeCell ref="A28:H29"/>
    <x:mergeCell ref="A30:H31"/>
    <x:mergeCell ref="A32:H33"/>
    <x:mergeCell ref="A34:H35"/>
    <x:mergeCell ref="A36:H37"/>
    <x:mergeCell ref="A38:H39"/>
    <x:mergeCell ref="A40:H41"/>
  </x:mergeCells>
  <x:dataValidations count="3">
    <x:dataValidation type="decimal" operator="between" sqref="B8:B9">
      <x:formula1>0</x:formula1>
      <x:formula2>1</x:formula2>
    </x:dataValidation>
    <x:dataValidation type="decimal" operator="between" sqref="C22:D25">
      <x:formula1>0</x:formula1>
      <x:formula2>1</x:formula2>
    </x:dataValidation>
    <x:dataValidation type="decimal" operator="between" sqref="D15:D17">
      <x:formula1>0</x:formula1>
      <x:formula2>1</x:formula2>
    </x:dataValidation>
  </x:dataValidations>
  <x:pageMargins left="0.7" right="0.7" top="0.75" bottom="0.75" header="0.3" footer="0.3"/>
  <x:tableParts count="2">
    <x:tablePart xmlns:r="http://schemas.openxmlformats.org/officeDocument/2006/relationships" r:id="R33d1596174524637"/>
    <x:tablePart xmlns:r="http://schemas.openxmlformats.org/officeDocument/2006/relationships" r:id="R8b6ca9e6e37645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5" hidden="0" customWidth="1"/>
    <x:col min="8" max="8" width="26" hidden="0" customWidth="1"/>
    <x:col min="9" max="9" width="20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2" customHeight="1">
      <x:c r="A1" s="2" t="str">
        <x:v>Segment, tier and customer analysis</x:v>
      </x:c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  <x:c r="M1" s="1"/>
      <x:c r="N1" s="1"/>
    </x:row>
    <x:row r="2" ht="23" customHeight="1">
      <x:c r="A2" s="5" t="str">
        <x:v>Monthly totals. Gross profit is before fixed overhead. Rankings update with customer inputs.</x:v>
      </x:c>
      <x:c r="B2" s="5"/>
      <x:c r="C2" s="5"/>
      <x:c r="D2" s="5"/>
      <x:c r="E2" s="5"/>
      <x:c r="F2" s="5"/>
      <x:c r="G2" s="5"/>
      <x:c r="H2" s="5"/>
      <x:c r="I2" s="5"/>
      <x:c r="J2" s="5"/>
      <x:c r="K2" s="1"/>
      <x:c r="L2" s="1"/>
      <x:c r="M2" s="1"/>
      <x:c r="N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8" customHeight="1">
      <x:c r="A4" s="9" t="str">
        <x:v>Group</x:v>
      </x:c>
      <x:c r="B4" s="9" t="str">
        <x:v>Customers</x:v>
      </x:c>
      <x:c r="C4" s="9" t="str">
        <x:v>Revenue INR</x:v>
      </x:c>
      <x:c r="D4" s="9" t="str">
        <x:v>Direct cost INR</x:v>
      </x:c>
      <x:c r="E4" s="9" t="str">
        <x:v>Gross profit INR</x:v>
      </x:c>
      <x:c r="F4" s="9" t="str">
        <x:v>Gross margin</x:v>
      </x:c>
      <x:c r="G4" s="1"/>
      <x:c r="H4" s="9" t="str">
        <x:v>Segment</x:v>
      </x:c>
      <x:c r="I4" s="9" t="str">
        <x:v>Revenue ₹ lakh</x:v>
      </x:c>
      <x:c r="J4" s="9" t="str">
        <x:v>Gross profit ₹ lakh</x:v>
      </x:c>
      <x:c r="K4" s="1"/>
      <x:c r="L4" s="1"/>
      <x:c r="M4" s="1"/>
      <x:c r="N4" s="1"/>
    </x:row>
    <x:row r="5" ht="23" customHeight="1">
      <x:c r="A5" s="1" t="str">
        <x:v>Independent Studios</x:v>
      </x:c>
      <x:c r="B5" s="1" t="n">
        <x:f>COUNTIF('Customers'!$C$5:$C$40,A5)</x:f>
        <x:v>11</x:v>
      </x:c>
      <x:c r="C5" s="16" t="n">
        <x:f>SUMIF('Customers'!$C$5:$C$40,A5,'Customers'!$G$5:$G$40)</x:f>
        <x:v>235950</x:v>
      </x:c>
      <x:c r="D5" s="16" t="n">
        <x:f>SUMIF('Customers'!$C$5:$C$40,A5,'Customers'!$L$5:$L$40)</x:f>
        <x:v>68400</x:v>
      </x:c>
      <x:c r="E5" s="16" t="n">
        <x:f>C5-D5</x:f>
        <x:v>167550</x:v>
      </x:c>
      <x:c r="F5" s="13" t="n">
        <x:f>IF(C5&gt;0,E5/C5,"")</x:f>
        <x:v>0.7101080737444374</x:v>
      </x:c>
      <x:c r="G5" s="1"/>
      <x:c r="H5" s="1" t="str">
        <x:f>A5</x:f>
        <x:v>Independent Studios</x:v>
      </x:c>
      <x:c r="I5" s="1" t="n">
        <x:f>C5/'Assumptions'!$B$10</x:f>
        <x:v>2.3595</x:v>
      </x:c>
      <x:c r="J5" s="1" t="n">
        <x:f>E5/'Assumptions'!$B$10</x:f>
        <x:v>1.6755</x:v>
      </x:c>
      <x:c r="K5" s="1"/>
      <x:c r="L5" s="1"/>
      <x:c r="M5" s="1"/>
      <x:c r="N5" s="1"/>
    </x:row>
    <x:row r="6" ht="23" customHeight="1">
      <x:c r="A6" s="1" t="str">
        <x:v>Production Houses</x:v>
      </x:c>
      <x:c r="B6" s="1" t="n">
        <x:f>COUNTIF('Customers'!$C$5:$C$40,A6)</x:f>
        <x:v>14</x:v>
      </x:c>
      <x:c r="C6" s="16" t="n">
        <x:f>SUMIF('Customers'!$C$5:$C$40,A6,'Customers'!$G$5:$G$40)</x:f>
        <x:v>362550</x:v>
      </x:c>
      <x:c r="D6" s="16" t="n">
        <x:f>SUMIF('Customers'!$C$5:$C$40,A6,'Customers'!$L$5:$L$40)</x:f>
        <x:v>119700</x:v>
      </x:c>
      <x:c r="E6" s="16" t="n">
        <x:f>C6-D6</x:f>
        <x:v>242850</x:v>
      </x:c>
      <x:c r="F6" s="13" t="n">
        <x:f>IF(C6&gt;0,E6/C6,"")</x:f>
        <x:v>0.6698386429458005</x:v>
      </x:c>
      <x:c r="G6" s="1"/>
      <x:c r="H6" s="1" t="str">
        <x:f>A6</x:f>
        <x:v>Production Houses</x:v>
      </x:c>
      <x:c r="I6" s="1" t="n">
        <x:f>C6/'Assumptions'!$B$10</x:f>
        <x:v>3.6255</x:v>
      </x:c>
      <x:c r="J6" s="1" t="n">
        <x:f>E6/'Assumptions'!$B$10</x:f>
        <x:v>2.4285</x:v>
      </x:c>
      <x:c r="K6" s="1"/>
      <x:c r="L6" s="1"/>
      <x:c r="M6" s="1"/>
      <x:c r="N6" s="1"/>
    </x:row>
    <x:row r="7" ht="23" customHeight="1">
      <x:c r="A7" s="1" t="str">
        <x:v>Streaming Studios</x:v>
      </x:c>
      <x:c r="B7" s="1" t="n">
        <x:f>COUNTIF('Customers'!$C$5:$C$40,A7)</x:f>
        <x:v>11</x:v>
      </x:c>
      <x:c r="C7" s="16" t="n">
        <x:f>SUMIF('Customers'!$C$5:$C$40,A7,'Customers'!$G$5:$G$40)</x:f>
        <x:v>354150</x:v>
      </x:c>
      <x:c r="D7" s="16" t="n">
        <x:f>SUMIF('Customers'!$C$5:$C$40,A7,'Customers'!$L$5:$L$40)</x:f>
        <x:v>157700</x:v>
      </x:c>
      <x:c r="E7" s="16" t="n">
        <x:f>C7-D7</x:f>
        <x:v>196450</x:v>
      </x:c>
      <x:c r="F7" s="13" t="n">
        <x:f>IF(C7&gt;0,E7/C7,"")</x:f>
        <x:v>0.5547084568685585</x:v>
      </x:c>
      <x:c r="G7" s="1"/>
      <x:c r="H7" s="1" t="str">
        <x:f>A7</x:f>
        <x:v>Streaming Studios</x:v>
      </x:c>
      <x:c r="I7" s="1" t="n">
        <x:f>C7/'Assumptions'!$B$10</x:f>
        <x:v>3.5415</x:v>
      </x:c>
      <x:c r="J7" s="1" t="n">
        <x:f>E7/'Assumptions'!$B$10</x:f>
        <x:v>1.9645</x:v>
      </x:c>
      <x:c r="K7" s="1"/>
      <x:c r="L7" s="1"/>
      <x:c r="M7" s="1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8" customHeight="1">
      <x:c r="A11" s="9" t="str">
        <x:v>Group</x:v>
      </x:c>
      <x:c r="B11" s="9" t="str">
        <x:v>Customers</x:v>
      </x:c>
      <x:c r="C11" s="9" t="str">
        <x:v>Revenue INR</x:v>
      </x:c>
      <x:c r="D11" s="9" t="str">
        <x:v>Direct cost INR</x:v>
      </x:c>
      <x:c r="E11" s="9" t="str">
        <x:v>Gross profit INR</x:v>
      </x:c>
      <x:c r="F11" s="9" t="str">
        <x:v>Gross margin</x:v>
      </x:c>
      <x:c r="G11" s="1"/>
      <x:c r="H11" s="9" t="str">
        <x:v>Tier</x:v>
      </x:c>
      <x:c r="I11" s="9" t="str">
        <x:v>Revenue ₹ lakh</x:v>
      </x:c>
      <x:c r="J11" s="9" t="str">
        <x:v>Gross profit ₹ lakh</x:v>
      </x:c>
      <x:c r="K11" s="1"/>
      <x:c r="L11" s="1"/>
      <x:c r="M11" s="1"/>
      <x:c r="N11" s="1"/>
    </x:row>
    <x:row r="12" ht="23" customHeight="1">
      <x:c r="A12" s="1" t="str">
        <x:v>Core</x:v>
      </x:c>
      <x:c r="B12" s="1" t="n">
        <x:f>COUNTIF('Customers'!$K$5:$K$40,A12)</x:f>
        <x:v>12</x:v>
      </x:c>
      <x:c r="C12" s="16" t="n">
        <x:f>SUMIF('Customers'!$K$5:$K$40,A12,'Customers'!$G$5:$G$40)</x:f>
        <x:v>131400</x:v>
      </x:c>
      <x:c r="D12" s="16" t="n">
        <x:f>SUMIF('Customers'!$K$5:$K$40,A12,'Customers'!$L$5:$L$40)</x:f>
        <x:v>62600</x:v>
      </x:c>
      <x:c r="E12" s="16" t="n">
        <x:f>C12-D12</x:f>
        <x:v>68800</x:v>
      </x:c>
      <x:c r="F12" s="13" t="n">
        <x:f>IF(C12&gt;0,E12/C12,"")</x:f>
        <x:v>0.5235920852359208</x:v>
      </x:c>
      <x:c r="G12" s="1"/>
      <x:c r="H12" s="1" t="str">
        <x:f>A12</x:f>
        <x:v>Core</x:v>
      </x:c>
      <x:c r="I12" s="1" t="n">
        <x:f>C12/'Assumptions'!$B$10</x:f>
        <x:v>1.314</x:v>
      </x:c>
      <x:c r="J12" s="1" t="n">
        <x:f>E12/'Assumptions'!$B$10</x:f>
        <x:v>0.688</x:v>
      </x:c>
      <x:c r="K12" s="1"/>
      <x:c r="L12" s="1"/>
      <x:c r="M12" s="1"/>
      <x:c r="N12" s="1"/>
    </x:row>
    <x:row r="13" ht="23" customHeight="1">
      <x:c r="A13" s="1" t="str">
        <x:v>Growth</x:v>
      </x:c>
      <x:c r="B13" s="1" t="n">
        <x:f>COUNTIF('Customers'!$K$5:$K$40,A13)</x:f>
        <x:v>12</x:v>
      </x:c>
      <x:c r="C13" s="16" t="n">
        <x:f>SUMIF('Customers'!$K$5:$K$40,A13,'Customers'!$G$5:$G$40)</x:f>
        <x:v>273750</x:v>
      </x:c>
      <x:c r="D13" s="16" t="n">
        <x:f>SUMIF('Customers'!$K$5:$K$40,A13,'Customers'!$L$5:$L$40)</x:f>
        <x:v>100600</x:v>
      </x:c>
      <x:c r="E13" s="16" t="n">
        <x:f>C13-D13</x:f>
        <x:v>173150</x:v>
      </x:c>
      <x:c r="F13" s="13" t="n">
        <x:f>IF(C13&gt;0,E13/C13,"")</x:f>
        <x:v>0.6325114155251141</x:v>
      </x:c>
      <x:c r="G13" s="1"/>
      <x:c r="H13" s="1" t="str">
        <x:f>A13</x:f>
        <x:v>Growth</x:v>
      </x:c>
      <x:c r="I13" s="1" t="n">
        <x:f>C13/'Assumptions'!$B$10</x:f>
        <x:v>2.7375</x:v>
      </x:c>
      <x:c r="J13" s="1" t="n">
        <x:f>E13/'Assumptions'!$B$10</x:f>
        <x:v>1.7315</x:v>
      </x:c>
      <x:c r="K13" s="1"/>
      <x:c r="L13" s="1"/>
      <x:c r="M13" s="1"/>
      <x:c r="N13" s="1"/>
    </x:row>
    <x:row r="14" ht="23" customHeight="1">
      <x:c r="A14" s="1" t="str">
        <x:v>Enterprise</x:v>
      </x:c>
      <x:c r="B14" s="1" t="n">
        <x:f>COUNTIF('Customers'!$K$5:$K$40,A14)</x:f>
        <x:v>12</x:v>
      </x:c>
      <x:c r="C14" s="16" t="n">
        <x:f>SUMIF('Customers'!$K$5:$K$40,A14,'Customers'!$G$5:$G$40)</x:f>
        <x:v>547500</x:v>
      </x:c>
      <x:c r="D14" s="16" t="n">
        <x:f>SUMIF('Customers'!$K$5:$K$40,A14,'Customers'!$L$5:$L$40)</x:f>
        <x:v>182600</x:v>
      </x:c>
      <x:c r="E14" s="16" t="n">
        <x:f>C14-D14</x:f>
        <x:v>364900</x:v>
      </x:c>
      <x:c r="F14" s="13" t="n">
        <x:f>IF(C14&gt;0,E14/C14,"")</x:f>
        <x:v>0.6664840182648402</x:v>
      </x:c>
      <x:c r="G14" s="1"/>
      <x:c r="H14" s="1" t="str">
        <x:f>A14</x:f>
        <x:v>Enterprise</x:v>
      </x:c>
      <x:c r="I14" s="1" t="n">
        <x:f>C14/'Assumptions'!$B$10</x:f>
        <x:v>5.475</x:v>
      </x:c>
      <x:c r="J14" s="1" t="n">
        <x:f>E14/'Assumptions'!$B$10</x:f>
        <x:v>3.649</x:v>
      </x:c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8" customHeight="1">
      <x:c r="A18" s="9" t="str">
        <x:v>Rank (low first)</x:v>
      </x:c>
      <x:c r="B18" s="9" t="str">
        <x:v>Customer</x:v>
      </x:c>
      <x:c r="C18" s="9" t="str">
        <x:v>Tier</x:v>
      </x:c>
      <x:c r="D18" s="9" t="str">
        <x:v>Gross profit INR</x:v>
      </x:c>
      <x:c r="E18" s="9" t="str">
        <x:v>Gross margin</x:v>
      </x:c>
      <x:c r="F18" s="9" t="str">
        <x:v>Review reason</x:v>
      </x:c>
      <x:c r="G18" s="1"/>
      <x:c r="H18" s="9" t="str">
        <x:v>Priority reason</x:v>
      </x:c>
      <x:c r="I18" s="9" t="str">
        <x:v>Customers</x:v>
      </x:c>
      <x:c r="J18" s="1"/>
      <x:c r="K18" s="1"/>
      <x:c r="L18" s="1"/>
      <x:c r="M18" s="1"/>
      <x:c r="N18" s="1"/>
    </x:row>
    <x:row r="19" ht="23" customHeight="1">
      <x:c r="A19" s="1" t="n">
        <x:v>1</x:v>
      </x:c>
      <x:c r="B19" s="1" t="str">
        <x:f>INDEX('Customers'!$A$5:$A$40,MATCH(A19,'Customers'!$W$5:$W$40,0))</x:f>
        <x:v>C012</x:v>
      </x:c>
      <x:c r="C19" s="1" t="str">
        <x:f>INDEX('Customers'!$K$5:$K$40,MATCH(A19,'Customers'!$W$5:$W$40,0))</x:f>
        <x:v>Core</x:v>
      </x:c>
      <x:c r="D19" s="16" t="n">
        <x:f>INDEX('Customers'!$M$5:$M$40,MATCH(A19,'Customers'!$W$5:$W$40,0))</x:f>
        <x:v>-5000</x:v>
      </x:c>
      <x:c r="E19" s="13" t="n">
        <x:f>INDEX('Customers'!$N$5:$N$40,MATCH(A19,'Customers'!$W$5:$W$40,0))</x:f>
        <x:v>-0.5208333333333334</x:v>
      </x:c>
      <x:c r="F19" s="1" t="str">
        <x:f>INDEX('Customers'!$V$5:$V$40,MATCH(A19,'Customers'!$W$5:$W$40,0))</x:f>
        <x:v>Margin review</x:v>
      </x:c>
      <x:c r="G19" s="1"/>
      <x:c r="H19" s="1" t="str">
        <x:v>Margin review</x:v>
      </x:c>
      <x:c r="I19" s="1" t="n">
        <x:f>COUNTIF('Customers'!$V$5:$V$40,H19)</x:f>
        <x:v>6</x:v>
      </x:c>
      <x:c r="J19" s="1"/>
      <x:c r="K19" s="1"/>
      <x:c r="L19" s="1"/>
      <x:c r="M19" s="1"/>
      <x:c r="N19" s="1"/>
    </x:row>
    <x:row r="20" ht="23" customHeight="1">
      <x:c r="A20" s="1" t="n">
        <x:v>2</x:v>
      </x:c>
      <x:c r="B20" s="1" t="str">
        <x:f>INDEX('Customers'!$A$5:$A$40,MATCH(A20,'Customers'!$W$5:$W$40,0))</x:f>
        <x:v>C024</x:v>
      </x:c>
      <x:c r="C20" s="1" t="str">
        <x:f>INDEX('Customers'!$K$5:$K$40,MATCH(A20,'Customers'!$W$5:$W$40,0))</x:f>
        <x:v>Growth</x:v>
      </x:c>
      <x:c r="D20" s="16" t="n">
        <x:f>INDEX('Customers'!$M$5:$M$40,MATCH(A20,'Customers'!$W$5:$W$40,0))</x:f>
        <x:v>400</x:v>
      </x:c>
      <x:c r="E20" s="13" t="n">
        <x:f>INDEX('Customers'!$N$5:$N$40,MATCH(A20,'Customers'!$W$5:$W$40,0))</x:f>
        <x:v>0.02</x:v>
      </x:c>
      <x:c r="F20" s="1" t="str">
        <x:f>INDEX('Customers'!$V$5:$V$40,MATCH(A20,'Customers'!$W$5:$W$40,0))</x:f>
        <x:v>Margin review</x:v>
      </x:c>
      <x:c r="G20" s="1"/>
      <x:c r="H20" s="1" t="str">
        <x:v>Usage review</x:v>
      </x:c>
      <x:c r="I20" s="1" t="n">
        <x:f>COUNTIF('Customers'!$V$5:$V$40,H20)</x:f>
        <x:v>7</x:v>
      </x:c>
      <x:c r="J20" s="1"/>
      <x:c r="K20" s="1"/>
      <x:c r="L20" s="1"/>
      <x:c r="M20" s="1"/>
      <x:c r="N20" s="1"/>
    </x:row>
    <x:row r="21" ht="23" customHeight="1">
      <x:c r="A21" s="1" t="n">
        <x:v>3</x:v>
      </x:c>
      <x:c r="B21" s="1" t="str">
        <x:f>INDEX('Customers'!$A$5:$A$40,MATCH(A21,'Customers'!$W$5:$W$40,0))</x:f>
        <x:v>C008</x:v>
      </x:c>
      <x:c r="C21" s="1" t="str">
        <x:f>INDEX('Customers'!$K$5:$K$40,MATCH(A21,'Customers'!$W$5:$W$40,0))</x:f>
        <x:v>Core</x:v>
      </x:c>
      <x:c r="D21" s="16" t="n">
        <x:f>INDEX('Customers'!$M$5:$M$40,MATCH(A21,'Customers'!$W$5:$W$40,0))</x:f>
        <x:v>3400</x:v>
      </x:c>
      <x:c r="E21" s="13" t="n">
        <x:f>INDEX('Customers'!$N$5:$N$40,MATCH(A21,'Customers'!$W$5:$W$40,0))</x:f>
        <x:v>0.3541666666666667</x:v>
      </x:c>
      <x:c r="F21" s="1" t="str">
        <x:f>INDEX('Customers'!$V$5:$V$40,MATCH(A21,'Customers'!$W$5:$W$40,0))</x:f>
        <x:v>Margin review</x:v>
      </x:c>
      <x:c r="G21" s="1"/>
      <x:c r="H21" s="1" t="str">
        <x:v>Discount review</x:v>
      </x:c>
      <x:c r="I21" s="1" t="n">
        <x:f>COUNTIF('Customers'!$V$5:$V$40,H21)</x:f>
        <x:v>4</x:v>
      </x:c>
      <x:c r="J21" s="1"/>
      <x:c r="K21" s="1"/>
      <x:c r="L21" s="1"/>
      <x:c r="M21" s="1"/>
      <x:c r="N21" s="1"/>
    </x:row>
    <x:row r="22" ht="23" customHeight="1">
      <x:c r="A22" s="1" t="n">
        <x:v>34</x:v>
      </x:c>
      <x:c r="B22" s="1" t="str">
        <x:f>INDEX('Customers'!$A$5:$A$40,MATCH(A22,'Customers'!$W$5:$W$40,0))</x:f>
        <x:v>C033</x:v>
      </x:c>
      <x:c r="C22" s="1" t="str">
        <x:f>INDEX('Customers'!$K$5:$K$40,MATCH(A22,'Customers'!$W$5:$W$40,0))</x:f>
        <x:v>Enterprise</x:v>
      </x:c>
      <x:c r="D22" s="16" t="n">
        <x:f>INDEX('Customers'!$M$5:$M$40,MATCH(A22,'Customers'!$W$5:$W$40,0))</x:f>
        <x:v>37200</x:v>
      </x:c>
      <x:c r="E22" s="13" t="n">
        <x:f>INDEX('Customers'!$N$5:$N$40,MATCH(A22,'Customers'!$W$5:$W$40,0))</x:f>
        <x:v>0.744</x:v>
      </x:c>
      <x:c r="F22" s="1" t="str">
        <x:f>INDEX('Customers'!$V$5:$V$40,MATCH(A22,'Customers'!$W$5:$W$40,0))</x:f>
        <x:v>No flag</x:v>
      </x:c>
      <x:c r="G22" s="1"/>
      <x:c r="H22" s="1" t="str">
        <x:v>No flag</x:v>
      </x:c>
      <x:c r="I22" s="1" t="n">
        <x:f>COUNTIF('Customers'!$V$5:$V$40,H22)</x:f>
        <x:v>19</x:v>
      </x:c>
      <x:c r="J22" s="1"/>
      <x:c r="K22" s="1"/>
      <x:c r="L22" s="1"/>
      <x:c r="M22" s="1"/>
      <x:c r="N22" s="1"/>
    </x:row>
    <x:row r="23" ht="23" customHeight="1">
      <x:c r="A23" s="1" t="n">
        <x:v>35</x:v>
      </x:c>
      <x:c r="B23" s="1" t="str">
        <x:f>INDEX('Customers'!$A$5:$A$40,MATCH(A23,'Customers'!$W$5:$W$40,0))</x:f>
        <x:v>C029</x:v>
      </x:c>
      <x:c r="C23" s="1" t="str">
        <x:f>INDEX('Customers'!$K$5:$K$40,MATCH(A23,'Customers'!$W$5:$W$40,0))</x:f>
        <x:v>Enterprise</x:v>
      </x:c>
      <x:c r="D23" s="16" t="n">
        <x:f>INDEX('Customers'!$M$5:$M$40,MATCH(A23,'Customers'!$W$5:$W$40,0))</x:f>
        <x:v>37600</x:v>
      </x:c>
      <x:c r="E23" s="13" t="n">
        <x:f>INDEX('Customers'!$N$5:$N$40,MATCH(A23,'Customers'!$W$5:$W$40,0))</x:f>
        <x:v>0.752</x:v>
      </x:c>
      <x:c r="F23" s="1" t="str">
        <x:f>INDEX('Customers'!$V$5:$V$40,MATCH(A23,'Customers'!$W$5:$W$40,0))</x:f>
        <x:v>No flag</x:v>
      </x:c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 t="n">
        <x:v>36</x:v>
      </x:c>
      <x:c r="B24" s="1" t="str">
        <x:f>INDEX('Customers'!$A$5:$A$40,MATCH(A24,'Customers'!$W$5:$W$40,0))</x:f>
        <x:v>C025</x:v>
      </x:c>
      <x:c r="C24" s="1" t="str">
        <x:f>INDEX('Customers'!$K$5:$K$40,MATCH(A24,'Customers'!$W$5:$W$40,0))</x:f>
        <x:v>Enterprise</x:v>
      </x:c>
      <x:c r="D24" s="16" t="n">
        <x:f>INDEX('Customers'!$M$5:$M$40,MATCH(A24,'Customers'!$W$5:$W$40,0))</x:f>
        <x:v>38000</x:v>
      </x:c>
      <x:c r="E24" s="13" t="n">
        <x:f>INDEX('Customers'!$N$5:$N$40,MATCH(A24,'Customers'!$W$5:$W$40,0))</x:f>
        <x:v>0.76</x:v>
      </x:c>
      <x:c r="F24" s="1" t="str">
        <x:f>INDEX('Customers'!$V$5:$V$40,MATCH(A24,'Customers'!$W$5:$W$40,0))</x:f>
        <x:v>No flag</x:v>
      </x:c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 t="str">
        <x:v>Top 5 revenue share</x:v>
      </x:c>
      <x:c r="I25" s="13" t="n">
        <x:f>(LARGE('Customers'!$G$5:$G$40,1)+LARGE('Customers'!$G$5:$G$40,2)+LARGE('Customers'!$G$5:$G$40,3)+LARGE('Customers'!$G$5:$G$40,4)+LARGE('Customers'!$G$5:$G$40,5))/SUM('Customers'!$G$5:$G$40)</x:f>
        <x:v>0.25717734739935966</x:v>
      </x:c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38" customHeight="1">
      <x:c r="A28" s="9" t="str">
        <x:v>Tier</x:v>
      </x:c>
      <x:c r="B28" s="9" t="str">
        <x:v>Current ₹ lakh</x:v>
      </x:c>
      <x:c r="C28" s="9" t="str">
        <x:v>Proposed ₹ lakh</x:v>
      </x:c>
      <x:c r="D28" s="9" t="str">
        <x:v>Overage ₹ lakh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 t="str">
        <x:v>Core</x:v>
      </x:c>
      <x:c r="B29" s="1" t="n">
        <x:f>SUMIF('Customers'!$K$5:$K$40,A29,'Customers'!$G$5:$G$40)/'Assumptions'!$B$10</x:f>
        <x:v>1.314</x:v>
      </x:c>
      <x:c r="C29" s="1" t="n">
        <x:f>SUMIF('Customers'!$K$5:$K$40,A29,'Customers'!$T$5:$T$40)/'Assumptions'!$B$10</x:f>
        <x:v>1.50312</x:v>
      </x:c>
      <x:c r="D29" s="1" t="n">
        <x:f>SUMIF('Customers'!$K$5:$K$40,A29,'Customers'!$S$5:$S$40)/'Assumptions'!$B$10</x:f>
        <x:v>0.084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 t="str">
        <x:v>Growth</x:v>
      </x:c>
      <x:c r="B30" s="1" t="n">
        <x:f>SUMIF('Customers'!$K$5:$K$40,A30,'Customers'!$G$5:$G$40)/'Assumptions'!$B$10</x:f>
        <x:v>2.7375</x:v>
      </x:c>
      <x:c r="C30" s="1" t="n">
        <x:f>SUMIF('Customers'!$K$5:$K$40,A30,'Customers'!$T$5:$T$40)/'Assumptions'!$B$10</x:f>
        <x:v>3.10875</x:v>
      </x:c>
      <x:c r="D30" s="1" t="n">
        <x:f>SUMIF('Customers'!$K$5:$K$40,A30,'Customers'!$S$5:$S$40)/'Assumptions'!$B$10</x:f>
        <x:v>0.0975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 t="str">
        <x:v>Enterprise</x:v>
      </x:c>
      <x:c r="B31" s="1" t="n">
        <x:f>SUMIF('Customers'!$K$5:$K$40,A31,'Customers'!$G$5:$G$40)/'Assumptions'!$B$10</x:f>
        <x:v>5.475</x:v>
      </x:c>
      <x:c r="C31" s="1" t="n">
        <x:f>SUMIF('Customers'!$K$5:$K$40,A31,'Customers'!$T$5:$T$40)/'Assumptions'!$B$10</x:f>
        <x:v>6.202</x:v>
      </x:c>
      <x:c r="D31" s="1" t="n">
        <x:f>SUMIF('Customers'!$K$5:$K$40,A31,'Customers'!$S$5:$S$40)/'Assumptions'!$B$10</x:f>
        <x:v>0.07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2" t="str">
        <x:v>Investment recovery checkpoints</x:v>
      </x:c>
      <x:c r="B1" s="2"/>
      <x:c r="C1" s="2"/>
      <x:c r="D1" s="2"/>
      <x:c r="E1" s="2"/>
      <x:c r="F1" s="2"/>
    </x:row>
    <x:row r="2" ht="23" customHeight="1">
      <x:c r="A2" s="5" t="str">
        <x:v>Cumulative net cash proxy in ₹ crore, starting with the investment outflow. Annual checkpoints are not historical cash flows.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8" customHeight="1">
      <x:c r="A5" s="9" t="str">
        <x:v>Years</x:v>
      </x:c>
      <x:c r="B5" s="9" t="str">
        <x:v>Months</x:v>
      </x:c>
      <x:c r="C5" s="9" t="str">
        <x:v>Current</x:v>
      </x:c>
      <x:c r="D5" s="9" t="str">
        <x:v>Conservative</x:v>
      </x:c>
      <x:c r="E5" s="9" t="str">
        <x:v>Base</x:v>
      </x:c>
      <x:c r="F5" s="9" t="str">
        <x:v>Upside</x:v>
      </x:c>
    </x:row>
    <x:row r="6" ht="23" customHeight="1">
      <x:c r="A6" s="1" t="n">
        <x:v>0</x:v>
      </x:c>
      <x:c r="B6" s="1" t="n">
        <x:f>A6*12</x:f>
        <x:v>0</x:v>
      </x:c>
      <x:c r="C6" s="26" t="n">
        <x:f>(-'Assumptions'!$B$5+B6*'Pricing'!J10*'Assumptions'!$B$10)/'Assumptions'!$B$11</x:f>
        <x:v>-2.5</x:v>
      </x:c>
      <x:c r="D6" s="26" t="n">
        <x:f>(-'Assumptions'!$B$5+B6*'Pricing'!J11*'Assumptions'!$B$10)/'Assumptions'!$B$11</x:f>
        <x:v>-2.5</x:v>
      </x:c>
      <x:c r="E6" s="26" t="n">
        <x:f>(-'Assumptions'!$B$5+B6*'Pricing'!J12*'Assumptions'!$B$10)/'Assumptions'!$B$11</x:f>
        <x:v>-2.5</x:v>
      </x:c>
      <x:c r="F6" s="26" t="n">
        <x:f>(-'Assumptions'!$B$5+B6*'Pricing'!J13*'Assumptions'!$B$10)/'Assumptions'!$B$11</x:f>
        <x:v>-2.5</x:v>
      </x:c>
    </x:row>
    <x:row r="7" ht="23" customHeight="1">
      <x:c r="A7" s="1" t="n">
        <x:v>1</x:v>
      </x:c>
      <x:c r="B7" s="1" t="n">
        <x:f>A7*12</x:f>
        <x:v>12</x:v>
      </x:c>
      <x:c r="C7" s="26" t="n">
        <x:f>(-'Assumptions'!$B$5+B7*'Pricing'!J10*'Assumptions'!$B$10)/'Assumptions'!$B$11</x:f>
        <x:v>-2.37178</x:v>
      </x:c>
      <x:c r="D7" s="26" t="n">
        <x:f>(-'Assumptions'!$B$5+B7*'Pricing'!J11*'Assumptions'!$B$10)/'Assumptions'!$B$11</x:f>
        <x:v>-2.310647044</x:v>
      </x:c>
      <x:c r="E7" s="26" t="n">
        <x:f>(-'Assumptions'!$B$5+B7*'Pricing'!J12*'Assumptions'!$B$10)/'Assumptions'!$B$11</x:f>
        <x:v>-2.2614308199999997</x:v>
      </x:c>
      <x:c r="F7" s="26" t="n">
        <x:f>(-'Assumptions'!$B$5+B7*'Pricing'!J13*'Assumptions'!$B$10)/'Assumptions'!$B$11</x:f>
        <x:v>-2.2172956</x:v>
      </x:c>
    </x:row>
    <x:row r="8" ht="23" customHeight="1">
      <x:c r="A8" s="1" t="n">
        <x:v>2</x:v>
      </x:c>
      <x:c r="B8" s="1" t="n">
        <x:f>A8*12</x:f>
        <x:v>24</x:v>
      </x:c>
      <x:c r="C8" s="26" t="n">
        <x:f>(-'Assumptions'!$B$5+B8*'Pricing'!J10*'Assumptions'!$B$10)/'Assumptions'!$B$11</x:f>
        <x:v>-2.24356</x:v>
      </x:c>
      <x:c r="D8" s="26" t="n">
        <x:f>(-'Assumptions'!$B$5+B8*'Pricing'!J11*'Assumptions'!$B$10)/'Assumptions'!$B$11</x:f>
        <x:v>-2.1212940880000004</x:v>
      </x:c>
      <x:c r="E8" s="26" t="n">
        <x:f>(-'Assumptions'!$B$5+B8*'Pricing'!J12*'Assumptions'!$B$10)/'Assumptions'!$B$11</x:f>
        <x:v>-2.02286164</x:v>
      </x:c>
      <x:c r="F8" s="26" t="n">
        <x:f>(-'Assumptions'!$B$5+B8*'Pricing'!J13*'Assumptions'!$B$10)/'Assumptions'!$B$11</x:f>
        <x:v>-1.9345912</x:v>
      </x:c>
    </x:row>
    <x:row r="9" ht="23" customHeight="1">
      <x:c r="A9" s="1" t="n">
        <x:v>3</x:v>
      </x:c>
      <x:c r="B9" s="1" t="n">
        <x:f>A9*12</x:f>
        <x:v>36</x:v>
      </x:c>
      <x:c r="C9" s="26" t="n">
        <x:f>(-'Assumptions'!$B$5+B9*'Pricing'!J10*'Assumptions'!$B$10)/'Assumptions'!$B$11</x:f>
        <x:v>-2.11534</x:v>
      </x:c>
      <x:c r="D9" s="26" t="n">
        <x:f>(-'Assumptions'!$B$5+B9*'Pricing'!J11*'Assumptions'!$B$10)/'Assumptions'!$B$11</x:f>
        <x:v>-1.9319411320000004</x:v>
      </x:c>
      <x:c r="E9" s="26" t="n">
        <x:f>(-'Assumptions'!$B$5+B9*'Pricing'!J12*'Assumptions'!$B$10)/'Assumptions'!$B$11</x:f>
        <x:v>-1.78429246</x:v>
      </x:c>
      <x:c r="F9" s="26" t="n">
        <x:f>(-'Assumptions'!$B$5+B9*'Pricing'!J13*'Assumptions'!$B$10)/'Assumptions'!$B$11</x:f>
        <x:v>-1.6518868000000002</x:v>
      </x:c>
    </x:row>
    <x:row r="10" ht="23" customHeight="1">
      <x:c r="A10" s="1" t="n">
        <x:v>4</x:v>
      </x:c>
      <x:c r="B10" s="1" t="n">
        <x:f>A10*12</x:f>
        <x:v>48</x:v>
      </x:c>
      <x:c r="C10" s="26" t="n">
        <x:f>(-'Assumptions'!$B$5+B10*'Pricing'!J10*'Assumptions'!$B$10)/'Assumptions'!$B$11</x:f>
        <x:v>-1.98712</x:v>
      </x:c>
      <x:c r="D10" s="26" t="n">
        <x:f>(-'Assumptions'!$B$5+B10*'Pricing'!J11*'Assumptions'!$B$10)/'Assumptions'!$B$11</x:f>
        <x:v>-1.7425881760000006</x:v>
      </x:c>
      <x:c r="E10" s="26" t="n">
        <x:f>(-'Assumptions'!$B$5+B10*'Pricing'!J12*'Assumptions'!$B$10)/'Assumptions'!$B$11</x:f>
        <x:v>-1.54572328</x:v>
      </x:c>
      <x:c r="F10" s="26" t="n">
        <x:f>(-'Assumptions'!$B$5+B10*'Pricing'!J13*'Assumptions'!$B$10)/'Assumptions'!$B$11</x:f>
        <x:v>-1.3691824000000001</x:v>
      </x:c>
    </x:row>
    <x:row r="11" ht="23" customHeight="1">
      <x:c r="A11" s="1" t="n">
        <x:v>5</x:v>
      </x:c>
      <x:c r="B11" s="1" t="n">
        <x:f>A11*12</x:f>
        <x:v>60</x:v>
      </x:c>
      <x:c r="C11" s="26" t="n">
        <x:f>(-'Assumptions'!$B$5+B11*'Pricing'!J10*'Assumptions'!$B$10)/'Assumptions'!$B$11</x:f>
        <x:v>-1.8589</x:v>
      </x:c>
      <x:c r="D11" s="26" t="n">
        <x:f>(-'Assumptions'!$B$5+B11*'Pricing'!J11*'Assumptions'!$B$10)/'Assumptions'!$B$11</x:f>
        <x:v>-1.5532352200000006</x:v>
      </x:c>
      <x:c r="E11" s="26" t="n">
        <x:f>(-'Assumptions'!$B$5+B11*'Pricing'!J12*'Assumptions'!$B$10)/'Assumptions'!$B$11</x:f>
        <x:v>-1.3071541</x:v>
      </x:c>
      <x:c r="F11" s="26" t="n">
        <x:f>(-'Assumptions'!$B$5+B11*'Pricing'!J13*'Assumptions'!$B$10)/'Assumptions'!$B$11</x:f>
        <x:v>-1.0864780000000003</x:v>
      </x:c>
    </x:row>
    <x:row r="12" ht="23" customHeight="1">
      <x:c r="A12" s="1" t="n">
        <x:v>6</x:v>
      </x:c>
      <x:c r="B12" s="1" t="n">
        <x:f>A12*12</x:f>
        <x:v>72</x:v>
      </x:c>
      <x:c r="C12" s="26" t="n">
        <x:f>(-'Assumptions'!$B$5+B12*'Pricing'!J10*'Assumptions'!$B$10)/'Assumptions'!$B$11</x:f>
        <x:v>-1.73068</x:v>
      </x:c>
      <x:c r="D12" s="26" t="n">
        <x:f>(-'Assumptions'!$B$5+B12*'Pricing'!J11*'Assumptions'!$B$10)/'Assumptions'!$B$11</x:f>
        <x:v>-1.3638822640000006</x:v>
      </x:c>
      <x:c r="E12" s="26" t="n">
        <x:f>(-'Assumptions'!$B$5+B12*'Pricing'!J12*'Assumptions'!$B$10)/'Assumptions'!$B$11</x:f>
        <x:v>-1.0685849200000002</x:v>
      </x:c>
      <x:c r="F12" s="26" t="n">
        <x:f>(-'Assumptions'!$B$5+B12*'Pricing'!J13*'Assumptions'!$B$10)/'Assumptions'!$B$11</x:f>
        <x:v>-0.8037736000000004</x:v>
      </x:c>
    </x:row>
    <x:row r="13" ht="23" customHeight="1">
      <x:c r="A13" s="1" t="n">
        <x:v>7</x:v>
      </x:c>
      <x:c r="B13" s="1" t="n">
        <x:f>A13*12</x:f>
        <x:v>84</x:v>
      </x:c>
      <x:c r="C13" s="26" t="n">
        <x:f>(-'Assumptions'!$B$5+B13*'Pricing'!J10*'Assumptions'!$B$10)/'Assumptions'!$B$11</x:f>
        <x:v>-1.6024599999999998</x:v>
      </x:c>
      <x:c r="D13" s="26" t="n">
        <x:f>(-'Assumptions'!$B$5+B13*'Pricing'!J11*'Assumptions'!$B$10)/'Assumptions'!$B$11</x:f>
        <x:v>-1.1745293080000008</x:v>
      </x:c>
      <x:c r="E13" s="26" t="n">
        <x:f>(-'Assumptions'!$B$5+B13*'Pricing'!J12*'Assumptions'!$B$10)/'Assumptions'!$B$11</x:f>
        <x:v>-0.83001574</x:v>
      </x:c>
      <x:c r="F13" s="26" t="n">
        <x:f>(-'Assumptions'!$B$5+B13*'Pricing'!J13*'Assumptions'!$B$10)/'Assumptions'!$B$11</x:f>
        <x:v>-0.5210692000000008</x:v>
      </x:c>
    </x:row>
    <x:row r="14" ht="23" customHeight="1">
      <x:c r="A14" s="1" t="n">
        <x:v>8</x:v>
      </x:c>
      <x:c r="B14" s="1" t="n">
        <x:f>A14*12</x:f>
        <x:v>96</x:v>
      </x:c>
      <x:c r="C14" s="26" t="n">
        <x:f>(-'Assumptions'!$B$5+B14*'Pricing'!J10*'Assumptions'!$B$10)/'Assumptions'!$B$11</x:f>
        <x:v>-1.4742399999999998</x:v>
      </x:c>
      <x:c r="D14" s="26" t="n">
        <x:f>(-'Assumptions'!$B$5+B14*'Pricing'!J11*'Assumptions'!$B$10)/'Assumptions'!$B$11</x:f>
        <x:v>-0.9851763520000009</x:v>
      </x:c>
      <x:c r="E14" s="26" t="n">
        <x:f>(-'Assumptions'!$B$5+B14*'Pricing'!J12*'Assumptions'!$B$10)/'Assumptions'!$B$11</x:f>
        <x:v>-0.5914465600000002</x:v>
      </x:c>
      <x:c r="F14" s="26" t="n">
        <x:f>(-'Assumptions'!$B$5+B14*'Pricing'!J13*'Assumptions'!$B$10)/'Assumptions'!$B$11</x:f>
        <x:v>-0.23836480000000038</x:v>
      </x:c>
    </x:row>
    <x:row r="15" ht="23" customHeight="1">
      <x:c r="A15" s="1" t="n">
        <x:v>9</x:v>
      </x:c>
      <x:c r="B15" s="1" t="n">
        <x:f>A15*12</x:f>
        <x:v>108</x:v>
      </x:c>
      <x:c r="C15" s="26" t="n">
        <x:f>(-'Assumptions'!$B$5+B15*'Pricing'!J10*'Assumptions'!$B$10)/'Assumptions'!$B$11</x:f>
        <x:v>-1.3460199999999998</x:v>
      </x:c>
      <x:c r="D15" s="26" t="n">
        <x:f>(-'Assumptions'!$B$5+B15*'Pricing'!J11*'Assumptions'!$B$10)/'Assumptions'!$B$11</x:f>
        <x:v>-0.7958233960000008</x:v>
      </x:c>
      <x:c r="E15" s="26" t="n">
        <x:f>(-'Assumptions'!$B$5+B15*'Pricing'!J12*'Assumptions'!$B$10)/'Assumptions'!$B$11</x:f>
        <x:v>-0.3528773800000001</x:v>
      </x:c>
      <x:c r="F15" s="26" t="n">
        <x:f>(-'Assumptions'!$B$5+B15*'Pricing'!J13*'Assumptions'!$B$10)/'Assumptions'!$B$11</x:f>
        <x:v>0.044339599999999625</x:v>
      </x:c>
    </x:row>
    <x:row r="16" ht="23" customHeight="1">
      <x:c r="A16" s="1" t="n">
        <x:v>10</x:v>
      </x:c>
      <x:c r="B16" s="1" t="n">
        <x:f>A16*12</x:f>
        <x:v>120</x:v>
      </x:c>
      <x:c r="C16" s="26" t="n">
        <x:f>(-'Assumptions'!$B$5+B16*'Pricing'!J10*'Assumptions'!$B$10)/'Assumptions'!$B$11</x:f>
        <x:v>-1.2177999999999998</x:v>
      </x:c>
      <x:c r="D16" s="26" t="n">
        <x:f>(-'Assumptions'!$B$5+B16*'Pricing'!J11*'Assumptions'!$B$10)/'Assumptions'!$B$11</x:f>
        <x:v>-0.6064704400000009</x:v>
      </x:c>
      <x:c r="E16" s="26" t="n">
        <x:f>(-'Assumptions'!$B$5+B16*'Pricing'!J12*'Assumptions'!$B$10)/'Assumptions'!$B$11</x:f>
        <x:v>-0.1143082</x:v>
      </x:c>
      <x:c r="F16" s="26" t="n">
        <x:f>(-'Assumptions'!$B$5+B16*'Pricing'!J13*'Assumptions'!$B$10)/'Assumptions'!$B$11</x:f>
        <x:v>0.3270439999999996</x:v>
      </x:c>
    </x:row>
    <x:row r="17" ht="23" customHeight="1">
      <x:c r="A17" s="1" t="n">
        <x:v>11</x:v>
      </x:c>
      <x:c r="B17" s="1" t="n">
        <x:f>A17*12</x:f>
        <x:v>132</x:v>
      </x:c>
      <x:c r="C17" s="26" t="n">
        <x:f>(-'Assumptions'!$B$5+B17*'Pricing'!J10*'Assumptions'!$B$10)/'Assumptions'!$B$11</x:f>
        <x:v>-1.0895799999999995</x:v>
      </x:c>
      <x:c r="D17" s="26" t="n">
        <x:f>(-'Assumptions'!$B$5+B17*'Pricing'!J11*'Assumptions'!$B$10)/'Assumptions'!$B$11</x:f>
        <x:v>-0.4171174840000011</x:v>
      </x:c>
      <x:c r="E17" s="26" t="n">
        <x:f>(-'Assumptions'!$B$5+B17*'Pricing'!J12*'Assumptions'!$B$10)/'Assumptions'!$B$11</x:f>
        <x:v>0.12426098000000008</x:v>
      </x:c>
      <x:c r="F17" s="26" t="n">
        <x:f>(-'Assumptions'!$B$5+B17*'Pricing'!J13*'Assumptions'!$B$10)/'Assumptions'!$B$11</x:f>
        <x:v>0.6097483999999993</x:v>
      </x:c>
    </x:row>
    <x:row r="18" ht="23" customHeight="1">
      <x:c r="A18" s="1" t="n">
        <x:v>12</x:v>
      </x:c>
      <x:c r="B18" s="1" t="n">
        <x:f>A18*12</x:f>
        <x:v>144</x:v>
      </x:c>
      <x:c r="C18" s="26" t="n">
        <x:f>(-'Assumptions'!$B$5+B18*'Pricing'!J10*'Assumptions'!$B$10)/'Assumptions'!$B$11</x:f>
        <x:v>-0.9613599999999997</x:v>
      </x:c>
      <x:c r="D18" s="26" t="n">
        <x:f>(-'Assumptions'!$B$5+B18*'Pricing'!J11*'Assumptions'!$B$10)/'Assumptions'!$B$11</x:f>
        <x:v>-0.22776452800000124</x:v>
      </x:c>
      <x:c r="E18" s="26" t="n">
        <x:f>(-'Assumptions'!$B$5+B18*'Pricing'!J12*'Assumptions'!$B$10)/'Assumptions'!$B$11</x:f>
        <x:v>0.3628301599999998</x:v>
      </x:c>
      <x:c r="F18" s="26" t="n">
        <x:f>(-'Assumptions'!$B$5+B18*'Pricing'!J13*'Assumptions'!$B$10)/'Assumptions'!$B$11</x:f>
        <x:v>0.8924527999999993</x:v>
      </x:c>
    </x:row>
    <x:row r="19" ht="23" customHeight="1">
      <x:c r="A19" s="1" t="n">
        <x:v>13</x:v>
      </x:c>
      <x:c r="B19" s="1" t="n">
        <x:f>A19*12</x:f>
        <x:v>156</x:v>
      </x:c>
      <x:c r="C19" s="26" t="n">
        <x:f>(-'Assumptions'!$B$5+B19*'Pricing'!J10*'Assumptions'!$B$10)/'Assumptions'!$B$11</x:f>
        <x:v>-0.8331399999999997</x:v>
      </x:c>
      <x:c r="D19" s="26" t="n">
        <x:f>(-'Assumptions'!$B$5+B19*'Pricing'!J11*'Assumptions'!$B$10)/'Assumptions'!$B$11</x:f>
        <x:v>-0.03841157200000137</x:v>
      </x:c>
      <x:c r="E19" s="26" t="n">
        <x:f>(-'Assumptions'!$B$5+B19*'Pricing'!J12*'Assumptions'!$B$10)/'Assumptions'!$B$11</x:f>
        <x:v>0.6013993399999998</x:v>
      </x:c>
      <x:c r="F19" s="26" t="n">
        <x:f>(-'Assumptions'!$B$5+B19*'Pricing'!J13*'Assumptions'!$B$10)/'Assumptions'!$B$11</x:f>
        <x:v>1.1751571999999992</x:v>
      </x:c>
    </x:row>
    <x:row r="20" ht="23" customHeight="1">
      <x:c r="A20" s="1" t="n">
        <x:v>14</x:v>
      </x:c>
      <x:c r="B20" s="1" t="n">
        <x:f>A20*12</x:f>
        <x:v>168</x:v>
      </x:c>
      <x:c r="C20" s="26" t="n">
        <x:f>(-'Assumptions'!$B$5+B20*'Pricing'!J10*'Assumptions'!$B$10)/'Assumptions'!$B$11</x:f>
        <x:v>-0.7049199999999997</x:v>
      </x:c>
      <x:c r="D20" s="26" t="n">
        <x:f>(-'Assumptions'!$B$5+B20*'Pricing'!J11*'Assumptions'!$B$10)/'Assumptions'!$B$11</x:f>
        <x:v>0.15094138399999849</x:v>
      </x:c>
      <x:c r="E20" s="26" t="n">
        <x:f>(-'Assumptions'!$B$5+B20*'Pricing'!J12*'Assumptions'!$B$10)/'Assumptions'!$B$11</x:f>
        <x:v>0.8399685199999999</x:v>
      </x:c>
      <x:c r="F20" s="26" t="n">
        <x:f>(-'Assumptions'!$B$5+B20*'Pricing'!J13*'Assumptions'!$B$10)/'Assumptions'!$B$11</x:f>
        <x:v>1.4578615999999984</x:v>
      </x:c>
    </x:row>
    <x:row r="21" ht="23" customHeight="1">
      <x:c r="A21" s="1" t="n">
        <x:v>15</x:v>
      </x:c>
      <x:c r="B21" s="1" t="n">
        <x:f>A21*12</x:f>
        <x:v>180</x:v>
      </x:c>
      <x:c r="C21" s="26" t="n">
        <x:f>(-'Assumptions'!$B$5+B21*'Pricing'!J10*'Assumptions'!$B$10)/'Assumptions'!$B$11</x:f>
        <x:v>-0.5766999999999997</x:v>
      </x:c>
      <x:c r="D21" s="26" t="n">
        <x:f>(-'Assumptions'!$B$5+B21*'Pricing'!J11*'Assumptions'!$B$10)/'Assumptions'!$B$11</x:f>
        <x:v>0.340294339999998</x:v>
      </x:c>
      <x:c r="E21" s="26" t="n">
        <x:f>(-'Assumptions'!$B$5+B21*'Pricing'!J12*'Assumptions'!$B$10)/'Assumptions'!$B$11</x:f>
        <x:v>1.0785377</x:v>
      </x:c>
      <x:c r="F21" s="26" t="n">
        <x:f>(-'Assumptions'!$B$5+B21*'Pricing'!J13*'Assumptions'!$B$10)/'Assumptions'!$B$11</x:f>
        <x:v>1.7405659999999992</x:v>
      </x:c>
    </x:row>
    <x:row r="22" ht="23" customHeight="1">
      <x:c r="A22" s="1" t="n">
        <x:v>16</x:v>
      </x:c>
      <x:c r="B22" s="1" t="n">
        <x:f>A22*12</x:f>
        <x:v>192</x:v>
      </x:c>
      <x:c r="C22" s="26" t="n">
        <x:f>(-'Assumptions'!$B$5+B22*'Pricing'!J10*'Assumptions'!$B$10)/'Assumptions'!$B$11</x:f>
        <x:v>-0.4484799999999996</x:v>
      </x:c>
      <x:c r="D22" s="26" t="n">
        <x:f>(-'Assumptions'!$B$5+B22*'Pricing'!J11*'Assumptions'!$B$10)/'Assumptions'!$B$11</x:f>
        <x:v>0.5296472959999983</x:v>
      </x:c>
      <x:c r="E22" s="26" t="n">
        <x:f>(-'Assumptions'!$B$5+B22*'Pricing'!J12*'Assumptions'!$B$10)/'Assumptions'!$B$11</x:f>
        <x:v>1.3171068799999996</x:v>
      </x:c>
      <x:c r="F22" s="26" t="n">
        <x:f>(-'Assumptions'!$B$5+B22*'Pricing'!J13*'Assumptions'!$B$10)/'Assumptions'!$B$11</x:f>
        <x:v>2.0232703999999995</x:v>
      </x:c>
    </x:row>
    <x:row r="23" ht="23" customHeight="1">
      <x:c r="A23" s="1" t="n">
        <x:v>17</x:v>
      </x:c>
      <x:c r="B23" s="1" t="n">
        <x:f>A23*12</x:f>
        <x:v>204</x:v>
      </x:c>
      <x:c r="C23" s="26" t="n">
        <x:f>(-'Assumptions'!$B$5+B23*'Pricing'!J10*'Assumptions'!$B$10)/'Assumptions'!$B$11</x:f>
        <x:v>-0.3202599999999996</x:v>
      </x:c>
      <x:c r="D23" s="26" t="n">
        <x:f>(-'Assumptions'!$B$5+B23*'Pricing'!J11*'Assumptions'!$B$10)/'Assumptions'!$B$11</x:f>
        <x:v>0.7190002519999985</x:v>
      </x:c>
      <x:c r="E23" s="26" t="n">
        <x:f>(-'Assumptions'!$B$5+B23*'Pricing'!J12*'Assumptions'!$B$10)/'Assumptions'!$B$11</x:f>
        <x:v>1.5556760600000001</x:v>
      </x:c>
      <x:c r="F23" s="26" t="n">
        <x:f>(-'Assumptions'!$B$5+B23*'Pricing'!J13*'Assumptions'!$B$10)/'Assumptions'!$B$11</x:f>
        <x:v>2.305974799999999</x:v>
      </x:c>
    </x:row>
    <x:row r="24" ht="23" customHeight="1">
      <x:c r="A24" s="1" t="n">
        <x:v>18</x:v>
      </x:c>
      <x:c r="B24" s="1" t="n">
        <x:f>A24*12</x:f>
        <x:v>216</x:v>
      </x:c>
      <x:c r="C24" s="26" t="n">
        <x:f>(-'Assumptions'!$B$5+B24*'Pricing'!J10*'Assumptions'!$B$10)/'Assumptions'!$B$11</x:f>
        <x:v>-0.19203999999999963</x:v>
      </x:c>
      <x:c r="D24" s="26" t="n">
        <x:f>(-'Assumptions'!$B$5+B24*'Pricing'!J11*'Assumptions'!$B$10)/'Assumptions'!$B$11</x:f>
        <x:v>0.9083532079999983</x:v>
      </x:c>
      <x:c r="E24" s="26" t="n">
        <x:f>(-'Assumptions'!$B$5+B24*'Pricing'!J12*'Assumptions'!$B$10)/'Assumptions'!$B$11</x:f>
        <x:v>1.7942452399999997</x:v>
      </x:c>
      <x:c r="F24" s="26" t="n">
        <x:f>(-'Assumptions'!$B$5+B24*'Pricing'!J13*'Assumptions'!$B$10)/'Assumptions'!$B$11</x:f>
        <x:v>2.588679199999999</x:v>
      </x:c>
    </x:row>
    <x:row r="25" ht="23" customHeight="1">
      <x:c r="A25" s="1" t="n">
        <x:v>19</x:v>
      </x:c>
      <x:c r="B25" s="1" t="n">
        <x:f>A25*12</x:f>
        <x:v>228</x:v>
      </x:c>
      <x:c r="C25" s="26" t="n">
        <x:f>(-'Assumptions'!$B$5+B25*'Pricing'!J10*'Assumptions'!$B$10)/'Assumptions'!$B$11</x:f>
        <x:v>-0.06381999999999963</x:v>
      </x:c>
      <x:c r="D25" s="26" t="n">
        <x:f>(-'Assumptions'!$B$5+B25*'Pricing'!J11*'Assumptions'!$B$10)/'Assumptions'!$B$11</x:f>
        <x:v>1.0977061639999979</x:v>
      </x:c>
      <x:c r="E25" s="26" t="n">
        <x:f>(-'Assumptions'!$B$5+B25*'Pricing'!J12*'Assumptions'!$B$10)/'Assumptions'!$B$11</x:f>
        <x:v>2.0328144200000002</x:v>
      </x:c>
      <x:c r="F25" s="26" t="n">
        <x:f>(-'Assumptions'!$B$5+B25*'Pricing'!J13*'Assumptions'!$B$10)/'Assumptions'!$B$11</x:f>
        <x:v>2.8713835999999993</x:v>
      </x:c>
    </x:row>
    <x:row r="26" ht="23" customHeight="1">
      <x:c r="A26" s="1" t="n">
        <x:v>20</x:v>
      </x:c>
      <x:c r="B26" s="1" t="n">
        <x:f>A26*12</x:f>
        <x:v>240</x:v>
      </x:c>
      <x:c r="C26" s="26" t="n">
        <x:f>(-'Assumptions'!$B$5+B26*'Pricing'!J10*'Assumptions'!$B$10)/'Assumptions'!$B$11</x:f>
        <x:v>0.06440000000000037</x:v>
      </x:c>
      <x:c r="D26" s="26" t="n">
        <x:f>(-'Assumptions'!$B$5+B26*'Pricing'!J11*'Assumptions'!$B$10)/'Assumptions'!$B$11</x:f>
        <x:v>1.2870591199999981</x:v>
      </x:c>
      <x:c r="E26" s="26" t="n">
        <x:f>(-'Assumptions'!$B$5+B26*'Pricing'!J12*'Assumptions'!$B$10)/'Assumptions'!$B$11</x:f>
        <x:v>2.2713836</x:v>
      </x:c>
      <x:c r="F26" s="26" t="n">
        <x:f>(-'Assumptions'!$B$5+B26*'Pricing'!J13*'Assumptions'!$B$10)/'Assumptions'!$B$11</x:f>
        <x:v>3.1540879999999993</x:v>
      </x:c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/>
      <x:c r="B28" s="1"/>
      <x:c r="C28" s="1"/>
      <x:c r="D28" s="1"/>
      <x:c r="E28" s="1"/>
      <x:c r="F28" s="1"/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cdf31dc11c2a40eb"/>
  </x:tableParts>
</x:worksheet>
</file>